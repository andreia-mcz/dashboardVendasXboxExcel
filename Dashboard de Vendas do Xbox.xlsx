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RSOS\DIO\EXCEL\DESAFIO DASHBOARD\"/>
    </mc:Choice>
  </mc:AlternateContent>
  <xr:revisionPtr revIDLastSave="0" documentId="8_{02454E99-ED43-41BF-9E6E-F50B126FBAF4}" xr6:coauthVersionLast="47" xr6:coauthVersionMax="47" xr10:uidLastSave="{00000000-0000-0000-0000-000000000000}"/>
  <bookViews>
    <workbookView xWindow="28680" yWindow="1275" windowWidth="29040" windowHeight="15720" tabRatio="557" firstSheet="4" activeTab="4" xr2:uid="{28DD5B76-0634-4F87-BE60-8BFA7EF2E23B}"/>
  </bookViews>
  <sheets>
    <sheet name="A̳ssets" sheetId="1" state="hidden" r:id="rId1"/>
    <sheet name="B̳ases" sheetId="2" state="hidden" r:id="rId2"/>
    <sheet name="Planilha1" sheetId="5" state="hidden" r:id="rId3"/>
    <sheet name="C̳álculos" sheetId="3" state="hidden" r:id="rId4"/>
    <sheet name="D̳ashboard" sheetId="4" r:id="rId5"/>
  </sheets>
  <definedNames>
    <definedName name="_xlcn.WorksheetConnection_805d54f96d534246bed74aa2da615923.xlsxTabela11" hidden="1">Tabela1[]</definedName>
    <definedName name="DadosExternos_1" localSheetId="2" hidden="1">Planilha1!$A$3:$O$63</definedName>
    <definedName name="SegmentaçãodeDados_Subscription_Type">#N/A</definedName>
  </definedNames>
  <calcPr calcId="191029"/>
  <pivotCaches>
    <pivotCache cacheId="719" r:id="rId6"/>
    <pivotCache cacheId="722" r:id="rId7"/>
    <pivotCache cacheId="725" r:id="rId8"/>
  </pivotCaches>
  <fileRecoveryPr repairLoad="1"/>
  <extLst>
    <ext xmlns:x14="http://schemas.microsoft.com/office/spreadsheetml/2009/9/main" uri="{876F7934-8845-4945-9796-88D515C7AA90}">
      <x14:pivotCaches>
        <pivotCache cacheId="290" r:id="rId9"/>
      </x14:pivotCaches>
    </ext>
    <ext xmlns:x14="http://schemas.microsoft.com/office/spreadsheetml/2009/9/main" uri="{BBE1A952-AA13-448e-AADC-164F8A28A991}">
      <x14:slicerCaches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ela1" name="Tabela1" connection="WorksheetConnection_805d54f9-6d53-4246-bed7-4aa2da615923.xlsx!Tabela1"/>
        </x15:modelTables>
        <x15:extLst>
          <ext xmlns:x16="http://schemas.microsoft.com/office/spreadsheetml/2014/11/main" uri="{9835A34E-60A6-4A7C-AAB8-D5F71C897F49}">
            <x16:modelTimeGroupings>
              <x16:modelTimeGrouping tableName="Tabela1" columnName="Start Date" columnId="Start Date">
                <x16:calculatedTimeColumn columnName="Start Date (Índice de Mês)" columnId="Start Date (Índice de Mês)" contentType="monthsindex" isSelected="1"/>
                <x16:calculatedTimeColumn columnName="Start Date (Mês)" columnId="Start Date (Mê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3" l="1"/>
  <c r="E2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EC0548-3B18-4FDB-8BBE-63065D985339}" keepAlive="1" name="ModelConnection_DadosExternos_1" description="Modelo de Dados" type="5" refreshedVersion="8" minRefreshableVersion="5" saveData="1">
    <dbPr connection="Data Model Connection" command="DRILLTHROUGH MAXROWS 1000 SELECT FROM [Model] WHERE (([Tabela1].[Subscription Type].&amp;[Annual],[Measures].[Soma de Total Value],[Tabela1].[Auto Renewal].&amp;[Yes])) RETURN [$Tabela1].[Subscriber ID],[$Tabela1].[Name],[$Tabela1].[Plan],[$Tabela1].[Start Date],[$Tabela1].[Auto Renewal],[$Tabela1].[Subscription Price],[$Tabela1].[Subscription Type],[$Tabela1].[EA Play Season Pass],[$Tabela1].[EA Play Season Pass Price],[$Tabela1].[Minecraft Season Pass],[$Tabela1].[Minecraft Season Pass Price],[$Tabela1].[Coupon Value],[$Tabela1].[Total Value],[$Tabela1].[Start Date (Mês)],[$Tabela1].[Start Date (Índice de Mês)]" commandType="4"/>
    <extLst>
      <ext xmlns:x15="http://schemas.microsoft.com/office/spreadsheetml/2010/11/main" uri="{DE250136-89BD-433C-8126-D09CA5730AF9}">
        <x15:connection id="" model="1"/>
      </ext>
    </extLst>
  </connection>
  <connection id="2" xr16:uid="{3E3B119A-901C-49E9-8D5B-0D6862382E10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A4C39206-725C-4915-99ED-15AC75C28A1E}" name="WorksheetConnection_805d54f9-6d53-4246-bed7-4aa2da615923.xlsx!Tabela1" type="102" refreshedVersion="8" minRefreshableVersion="5">
    <extLst>
      <ext xmlns:x15="http://schemas.microsoft.com/office/spreadsheetml/2010/11/main" uri="{DE250136-89BD-433C-8126-D09CA5730AF9}">
        <x15:connection id="Tabela1" autoDelete="1">
          <x15:rangePr sourceName="_xlcn.WorksheetConnection_805d54f96d534246bed74aa2da615923.xlsxTabela1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Tabela1].[Subscription Type].&amp;[Quarterly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<sst xmlns="http://schemas.openxmlformats.org/spreadsheetml/2006/main" count="2260" uniqueCount="349">
  <si>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</si>
  <si>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</si>
  <si>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</si>
  <si>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</si>
  <si>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</si>
  <si>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</si>
  <si>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</si>
  <si>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</si>
  <si>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</si>
  <si>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</si>
  <si>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</si>
  <si>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</si>
  <si>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</si>
  <si>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</si>
  <si>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</si>
  <si>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</si>
  <si>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</si>
  <si>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</si>
  <si>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</si>
  <si>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</si>
  <si>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</si>
  <si>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</si>
  <si>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</si>
  <si>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</si>
  <si>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</si>
  <si>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</si>
  <si>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</si>
  <si>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</si>
  <si>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</si>
  <si>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</si>
  <si>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</si>
  <si>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</si>
  <si>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</si>
  <si>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</si>
  <si>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</si>
  <si>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</si>
  <si>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</si>
  <si>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</si>
  <si>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</si>
  <si>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</si>
  <si>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</si>
  <si>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</si>
  <si>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</si>
  <si>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</si>
  <si>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</si>
  <si>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</si>
  <si>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</si>
  <si>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</si>
  <si>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</si>
  <si>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</si>
  <si>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</si>
  <si>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</si>
  <si>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</si>
  <si>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</si>
  <si>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</si>
  <si>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</si>
  <si>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</si>
  <si>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</si>
  <si>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</si>
  <si>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</si>
  <si>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</si>
  <si>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</si>
  <si>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</si>
  <si>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</si>
  <si>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</si>
  <si>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</si>
  <si>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</si>
  <si>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</si>
  <si>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</si>
  <si>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</si>
  <si>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</si>
  <si>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</si>
  <si>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</si>
  <si>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</si>
  <si>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</si>
  <si>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</si>
  <si>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</si>
  <si>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</si>
  <si>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</si>
  <si>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</si>
  <si>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</si>
  <si>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</si>
  <si>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</si>
  <si>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</si>
  <si>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</si>
  <si>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</si>
  <si>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</si>
  <si>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</si>
  <si>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</si>
  <si>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</si>
  <si>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</si>
  <si>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</si>
  <si>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</si>
  <si>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</si>
  <si>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</si>
  <si>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</si>
  <si>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</si>
  <si>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</si>
  <si>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</si>
  <si>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</si>
  <si>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</si>
  <si>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</si>
  <si>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</si>
  <si>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</si>
  <si>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</si>
  <si>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</si>
  <si>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</si>
  <si>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</si>
  <si>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</si>
  <si>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</si>
  <si>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</si>
  <si>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</si>
  <si>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</si>
  <si>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</si>
  <si>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</si>
  <si>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</si>
  <si>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</si>
  <si>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</si>
  <si>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</si>
  <si>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</si>
  <si>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</si>
  <si>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</si>
  <si>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</si>
  <si>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</si>
  <si>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</si>
  <si>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</si>
  <si>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</si>
  <si>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</si>
  <si>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</si>
  <si>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</si>
  <si>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</si>
  <si>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</si>
  <si>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</si>
  <si>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</si>
  <si>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</si>
  <si>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</si>
  <si>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</si>
  <si>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</si>
  <si>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</si>
  <si>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</si>
  <si>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</si>
  <si>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</si>
  <si>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</si>
  <si>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</si>
  <si>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</si>
  <si>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</si>
  <si>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</si>
  <si>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</si>
  <si>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</si>
  <si>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</si>
  <si>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</si>
  <si>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</si>
  <si>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</si>
  <si>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</si>
  <si>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</si>
  <si>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</si>
  <si>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</si>
  <si>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</si>
  <si>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</si>
  <si>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</si>
  <si>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</si>
  <si>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</si>
  <si>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</si>
  <si>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</si>
  <si>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</si>
  <si>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</si>
  <si>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</si>
  <si>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</si>
  <si>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</si>
  <si>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</si>
  <si>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</si>
  <si>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</si>
  <si>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</si>
  <si>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</si>
  <si>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</si>
  <si>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</si>
  <si>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</si>
  <si>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</si>
  <si>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</si>
  <si>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</si>
  <si>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</si>
  <si>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</si>
  <si>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</si>
  <si>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</si>
  <si>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</si>
  <si>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</si>
  <si>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</si>
  <si>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</si>
  <si>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</si>
  <si>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</si>
  <si>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</si>
  <si>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</si>
  <si>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</si>
  <si>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</si>
  <si>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</si>
  <si>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</si>
  <si>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</si>
  <si>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</si>
  <si>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</si>
  <si>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</si>
  <si>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</si>
  <si>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</si>
  <si>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</si>
  <si>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</si>
  <si>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</si>
  <si>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</si>
  <si>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</si>
  <si>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</si>
  <si>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</si>
  <si>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</si>
  <si>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</si>
  <si>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</si>
  <si>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</si>
  <si>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</si>
  <si>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</si>
  <si>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</si>
  <si>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</si>
  <si>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</si>
  <si>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</si>
  <si>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</si>
  <si>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</si>
  <si>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</si>
  <si>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</si>
  <si>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</si>
  <si>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</si>
  <si>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</si>
  <si>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</si>
  <si>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</si>
  <si>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</si>
  <si>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</si>
  <si>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</si>
  <si>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</si>
  <si>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</si>
  <si>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</si>
  <si>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</si>
  <si>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</si>
  <si>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</si>
  <si>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</si>
  <si>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</si>
  <si>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</si>
  <si>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</si>
  <si>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</si>
  <si>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</si>
  <si>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</si>
  <si>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</si>
  <si>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</si>
  <si>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</si>
  <si>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</si>
  <si>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</si>
  <si>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</si>
  <si>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</si>
  <si>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</si>
  <si>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</si>
  <si>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</si>
  <si>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</si>
  <si>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</si>
  <si>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</si>
  <si>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</si>
  <si>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</si>
  <si>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</si>
  <si>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</si>
  <si>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</si>
  <si>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</si>
  <si>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</si>
  <si>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</si>
  <si>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</si>
  <si>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</si>
  <si>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</si>
  <si>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</si>
  <si>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</si>
  <si>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</si>
  <si>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</si>
  <si>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</si>
  <si>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</si>
  <si>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</si>
  <si>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</si>
  <si>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</si>
  <si>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</si>
  <si>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</si>
  <si>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</si>
  <si>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</si>
  <si>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</si>
  <si>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</si>
  <si>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</si>
  <si>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</si>
  <si>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</si>
  <si>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</si>
  <si>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</si>
  <si>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</si>
  <si>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</si>
  <si>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</si>
  <si>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</si>
  <si>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</si>
  <si>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</si>
  <si>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</si>
  <si>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</si>
  <si>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</si>
  <si>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</si>
  <si>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</si>
  <si>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</si>
  <si>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</si>
  <si>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</si>
  <si>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</si>
  <si>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</si>
  <si>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</si>
  <si>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</si>
  <si>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</si>
  <si>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</si>
  <si>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</si>
  <si>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</si>
  <si>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</si>
  <si>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Subscription Price</t>
  </si>
  <si>
    <t>Rótulos de Linha</t>
  </si>
  <si>
    <t>Total Geral</t>
  </si>
  <si>
    <t>Soma de Total Value</t>
  </si>
  <si>
    <t>É uma pergunta de negócio respondida através de alguma análise de dado especifica</t>
  </si>
  <si>
    <t>Pergunta de negócio 1 - Qual fatruamento Total de vendas de planos anuais(contendo todas as assinaturas agregadas)</t>
  </si>
  <si>
    <t>Pergunta de negócio 2 - Qual faturamento total de vendas de planos anuais, separados por auto renovação dos que não são auto renovação</t>
  </si>
  <si>
    <t>XBOX GAME PASS SUBSCRIPTIONS SALES</t>
  </si>
  <si>
    <t>Pergunta de negócio 3 - Total de vendas de assinaturas do EA Play</t>
  </si>
  <si>
    <t>Tabela1[Subscriber ID]</t>
  </si>
  <si>
    <t>Tabela1[Name]</t>
  </si>
  <si>
    <t>Tabela1[Plan]</t>
  </si>
  <si>
    <t>Tabela1[Start Date]</t>
  </si>
  <si>
    <t>Tabela1[Auto Renewal]</t>
  </si>
  <si>
    <t>Tabela1[Subscription Price]</t>
  </si>
  <si>
    <t>Tabela1[Subscription Type]</t>
  </si>
  <si>
    <t>Tabela1[EA Play Season Pass]</t>
  </si>
  <si>
    <t>Tabela1[EA Play Season Pass Price]</t>
  </si>
  <si>
    <t>Tabela1[Minecraft Season Pass]</t>
  </si>
  <si>
    <t>Tabela1[Minecraft Season Pass Price]</t>
  </si>
  <si>
    <t>Tabela1[Coupon Value]</t>
  </si>
  <si>
    <t>Tabela1[Total Value]</t>
  </si>
  <si>
    <t>Tabela1[Start Date (Mês)]</t>
  </si>
  <si>
    <t>Tabela1[Start Date (Índice de Mês)]</t>
  </si>
  <si>
    <t>dez</t>
  </si>
  <si>
    <t>nov</t>
  </si>
  <si>
    <t>out</t>
  </si>
  <si>
    <t>set</t>
  </si>
  <si>
    <t>ago</t>
  </si>
  <si>
    <t>jul</t>
  </si>
  <si>
    <t>jun</t>
  </si>
  <si>
    <t>abr</t>
  </si>
  <si>
    <t>mar</t>
  </si>
  <si>
    <t>Dados retornados para Soma de Total Value, Yes, Annual (primeiras 1000 linhas).</t>
  </si>
  <si>
    <t>Soma de EA Play Season Pass Price</t>
  </si>
  <si>
    <t>Soma de Minecraft Season Pass Price</t>
  </si>
  <si>
    <t>Bem-vinda, Andreia</t>
  </si>
  <si>
    <t>Calculation period: 01/01/2024 - 31/12/2024| Update date:07/02/2026 21:49:00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</si>
</sst>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rgb="FF22C55E"/>
      <name val="Aptos Narrow"/>
      <family val="2"/>
      <scheme val="minor"/>
    </font>
    <font>
      <b/>
      <sz val="11"/>
      <color theme="0"/>
      <name val="Segoe UI"/>
      <family val="2"/>
    </font>
    <font>
      <b/>
      <sz val="11"/>
      <color theme="1" tint="0.499984740745262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8" borderId="0" xfId="3"/>
    <xf numFmtId="14" fontId="0" fillId="0" borderId="0" xfId="0" applyNumberFormat="1"/>
    <xf numFmtId="0" fontId="3" fillId="0" borderId="0" xfId="0" applyFont="1"/>
    <xf numFmtId="0" fontId="0" fillId="0" borderId="0" xfId="2" applyNumberFormat="1" applyFont="1" applyAlignment="1">
      <alignment horizontal="center" vertical="center" wrapText="1"/>
    </xf>
    <xf numFmtId="44" fontId="0" fillId="0" borderId="0" xfId="2" applyFont="1"/>
    <xf numFmtId="0" fontId="5" fillId="0" borderId="2" xfId="1" applyFont="1" applyBorder="1"/>
    <xf numFmtId="0" fontId="6" fillId="4" borderId="0" xfId="0" applyFont="1" applyFill="1" applyAlignment="1">
      <alignment horizontal="center"/>
    </xf>
    <xf numFmtId="0" fontId="7" fillId="7" borderId="0" xfId="0" quotePrefix="1" applyFont="1" applyFill="1" applyAlignment="1">
      <alignment horizontal="left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89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d/mm/yyyy"/>
    </dxf>
    <dxf>
      <font>
        <b/>
        <i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numFmt numFmtId="34" formatCode="_-&quot;R$&quot;\ * #,##0.00_-;\-&quot;R$&quot;\ * #,##0.00_-;_-&quot;R$&quot;\ * &quot;-&quot;??_-;_-@_-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2" defaultTableStyle="TableStyleMedium2" defaultPivotStyle="PivotStyleLight16">
    <tableStyle name="SlicerStyleLight6 2" pivot="0" table="0" count="10" xr9:uid="{D8C3B10F-C88F-469C-996A-AFE6254448E2}">
      <tableStyleElement type="wholeTable" dxfId="74"/>
      <tableStyleElement type="headerRow" dxfId="73"/>
    </tableStyle>
    <tableStyle name="SlicerStyleLight6 3" pivot="0" table="0" count="10" xr9:uid="{429C21CB-6040-4A0A-81F4-4B4E03AF7EA1}">
      <tableStyleElement type="wholeTable" dxfId="76"/>
      <tableStyleElement type="headerRow" dxfId="75"/>
    </tableStyle>
  </tableStyles>
  <colors>
    <mruColors>
      <color rgb="FF22C55E"/>
      <color rgb="FF5BF6A8"/>
      <color rgb="FF2AE6B1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  <x14:slicerStyle name="SlicerStyleLight6 3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microsoft.com/office/2007/relationships/slicerCache" Target="slicerCaches/slicerCache1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Vendas do Xbox.xlsx]C̳álculos!tbl_annual_total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5BF6A8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94DA6A8-165D-42AD-ADB7-1677DF63469E}" type="VALUE">
                  <a:rPr lang="en-US" sz="1100" b="1"/>
                  <a:pPr>
                    <a:defRPr/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8"/>
        <c:spPr>
          <a:solidFill>
            <a:srgbClr val="5BF6A8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990CD101-AF16-48F4-A9EF-35FC865829F0}" type="VALUE">
                  <a:rPr lang="en-US" sz="1100" b="1"/>
                  <a:pPr>
                    <a:defRPr/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5756040058565662"/>
          <c:y val="0.23699654783623059"/>
          <c:w val="0.84243959941434343"/>
          <c:h val="0.72760379138729037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C̳álculos!$C$12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B29-4E7C-9301-DA74118E8968}"/>
              </c:ext>
            </c:extLst>
          </c:dPt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B29-4E7C-9301-DA74118E896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E94DA6A8-165D-42AD-ADB7-1677DF63469E}" type="VALUE">
                      <a:rPr lang="en-US" sz="1100" b="1"/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B29-4E7C-9301-DA74118E896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90CD101-AF16-48F4-A9EF-35FC865829F0}" type="VALUE">
                      <a:rPr lang="en-US" sz="1100" b="1"/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8B29-4E7C-9301-DA74118E89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C̳álculos!$B$13:$B$15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C̳álculos!$C$13:$C$15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29-4E7C-9301-DA74118E89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04621039"/>
        <c:axId val="404621519"/>
      </c:barChart>
      <c:catAx>
        <c:axId val="404621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4621519"/>
        <c:crosses val="autoZero"/>
        <c:auto val="1"/>
        <c:lblAlgn val="ctr"/>
        <c:lblOffset val="100"/>
        <c:noMultiLvlLbl val="0"/>
      </c:catAx>
      <c:valAx>
        <c:axId val="404621519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404621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7" Type="http://schemas.openxmlformats.org/officeDocument/2006/relationships/image" Target="../media/image5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2.png"/><Relationship Id="rId5" Type="http://schemas.openxmlformats.org/officeDocument/2006/relationships/chart" Target="../charts/chart1.xml"/><Relationship Id="rId4" Type="http://schemas.openxmlformats.org/officeDocument/2006/relationships/image" Target="../media/image10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5370" y="5172074"/>
          <a:ext cx="1555191" cy="712471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99058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99058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14</xdr:row>
      <xdr:rowOff>0</xdr:rowOff>
    </xdr:from>
    <xdr:to>
      <xdr:col>12</xdr:col>
      <xdr:colOff>17145</xdr:colOff>
      <xdr:row>15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14</xdr:row>
      <xdr:rowOff>0</xdr:rowOff>
    </xdr:from>
    <xdr:to>
      <xdr:col>14</xdr:col>
      <xdr:colOff>17145</xdr:colOff>
      <xdr:row>15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116206</xdr:colOff>
      <xdr:row>6</xdr:row>
      <xdr:rowOff>174308</xdr:rowOff>
    </xdr:from>
    <xdr:to>
      <xdr:col>0</xdr:col>
      <xdr:colOff>1885951</xdr:colOff>
      <xdr:row>14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39F68633-A4D1-4E3E-9AB4-48C8E0336B1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206" y="1920717"/>
              <a:ext cx="1765935" cy="125825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99059</xdr:colOff>
      <xdr:row>4</xdr:row>
      <xdr:rowOff>168050</xdr:rowOff>
    </xdr:from>
    <xdr:to>
      <xdr:col>10</xdr:col>
      <xdr:colOff>326707</xdr:colOff>
      <xdr:row>17</xdr:row>
      <xdr:rowOff>132331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BDFE1706-ACB0-4358-982C-6B33932C8FEC}"/>
            </a:ext>
          </a:extLst>
        </xdr:cNvPr>
        <xdr:cNvGrpSpPr/>
      </xdr:nvGrpSpPr>
      <xdr:grpSpPr>
        <a:xfrm>
          <a:off x="2024062" y="1564891"/>
          <a:ext cx="5252085" cy="2286000"/>
          <a:chOff x="2020252" y="1571625"/>
          <a:chExt cx="5244465" cy="2512695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2873099E-240C-4C6A-C0E3-7587CEEE2584}"/>
              </a:ext>
            </a:extLst>
          </xdr:cNvPr>
          <xdr:cNvSpPr/>
        </xdr:nvSpPr>
        <xdr:spPr>
          <a:xfrm>
            <a:off x="2025968" y="1631156"/>
            <a:ext cx="5233035" cy="2453164"/>
          </a:xfrm>
          <a:prstGeom prst="roundRect">
            <a:avLst>
              <a:gd name="adj" fmla="val 6483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3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EF9CF7B9-C4DE-454F-8F84-B2EE1558DCE0}"/>
              </a:ext>
            </a:extLst>
          </xdr:cNvPr>
          <xdr:cNvSpPr/>
        </xdr:nvSpPr>
        <xdr:spPr>
          <a:xfrm>
            <a:off x="3444717" y="2005492"/>
            <a:ext cx="3374707" cy="1753074"/>
          </a:xfrm>
          <a:prstGeom prst="roundRect">
            <a:avLst>
              <a:gd name="adj" fmla="val 6483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0240A81-5205-4411-A27A-68ED05E18AEE}" type="TxLink">
              <a:rPr lang="en-US" sz="4400" b="0" i="0" u="none" strike="noStrike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 R$ 990,00 </a:t>
            </a:fld>
            <a:endParaRPr lang="en-US" sz="34400" b="0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6753B7C1-3E98-43AE-9DCB-C48E700F8C3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097882" y="2310529"/>
            <a:ext cx="1230630" cy="1143000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29491267-E80F-17A7-0C7E-0A868A9E1862}"/>
              </a:ext>
            </a:extLst>
          </xdr:cNvPr>
          <xdr:cNvSpPr/>
        </xdr:nvSpPr>
        <xdr:spPr>
          <a:xfrm>
            <a:off x="2020252" y="1571625"/>
            <a:ext cx="5244465" cy="556261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SUBSCRIPTION EA PLAY SEASON PASS</a:t>
            </a:r>
            <a:endParaRPr lang="pt-BR" sz="11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10</xdr:col>
      <xdr:colOff>481954</xdr:colOff>
      <xdr:row>4</xdr:row>
      <xdr:rowOff>169003</xdr:rowOff>
    </xdr:from>
    <xdr:to>
      <xdr:col>20</xdr:col>
      <xdr:colOff>89524</xdr:colOff>
      <xdr:row>17</xdr:row>
      <xdr:rowOff>135189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39E89726-DB69-3145-99F9-7271880278FC}"/>
            </a:ext>
          </a:extLst>
        </xdr:cNvPr>
        <xdr:cNvGrpSpPr/>
      </xdr:nvGrpSpPr>
      <xdr:grpSpPr>
        <a:xfrm>
          <a:off x="7431394" y="1565844"/>
          <a:ext cx="5282565" cy="2280285"/>
          <a:chOff x="7502833" y="1571625"/>
          <a:chExt cx="5257800" cy="2276475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05DDC22C-CB39-435E-A539-C86799675A84}"/>
              </a:ext>
            </a:extLst>
          </xdr:cNvPr>
          <xdr:cNvGrpSpPr/>
        </xdr:nvGrpSpPr>
        <xdr:grpSpPr>
          <a:xfrm>
            <a:off x="7506643" y="1571625"/>
            <a:ext cx="5253990" cy="2280285"/>
            <a:chOff x="2020252" y="1571625"/>
            <a:chExt cx="5244465" cy="2512695"/>
          </a:xfrm>
        </xdr:grpSpPr>
        <xdr:sp macro="" textlink="">
          <xdr:nvSpPr>
            <xdr:cNvPr id="13" name="Retângulo: Cantos Arredondados 12">
              <a:extLst>
                <a:ext uri="{FF2B5EF4-FFF2-40B4-BE49-F238E27FC236}">
                  <a16:creationId xmlns:a16="http://schemas.microsoft.com/office/drawing/2014/main" id="{29218A3A-CE0D-FC69-3229-0CC07DAD43AB}"/>
                </a:ext>
              </a:extLst>
            </xdr:cNvPr>
            <xdr:cNvSpPr/>
          </xdr:nvSpPr>
          <xdr:spPr>
            <a:xfrm>
              <a:off x="2025968" y="1631156"/>
              <a:ext cx="5233035" cy="2453164"/>
            </a:xfrm>
            <a:prstGeom prst="roundRect">
              <a:avLst>
                <a:gd name="adj" fmla="val 6483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30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4108DE5D-8A6E-ED73-B68D-A17D62D48BE0}"/>
                </a:ext>
              </a:extLst>
            </xdr:cNvPr>
            <xdr:cNvSpPr/>
          </xdr:nvSpPr>
          <xdr:spPr>
            <a:xfrm>
              <a:off x="3444717" y="2005492"/>
              <a:ext cx="3374707" cy="1753074"/>
            </a:xfrm>
            <a:prstGeom prst="roundRect">
              <a:avLst>
                <a:gd name="adj" fmla="val 6483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7DD854A5-DEB7-4B10-B90E-BA5840AC7183}" type="TxLink">
                <a:rPr lang="en-US" sz="4400" b="0" i="0" u="none" strike="noStrike">
                  <a:solidFill>
                    <a:srgbClr val="22C55E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R$ 1.140,00 </a:t>
              </a:fld>
              <a:endParaRPr lang="en-US" sz="255800" b="0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16" name="Retângulo: Cantos Superiores Arredondados 15">
              <a:extLst>
                <a:ext uri="{FF2B5EF4-FFF2-40B4-BE49-F238E27FC236}">
                  <a16:creationId xmlns:a16="http://schemas.microsoft.com/office/drawing/2014/main" id="{DB2F40A7-3BA0-CE08-0658-9C093EC6BAE0}"/>
                </a:ext>
              </a:extLst>
            </xdr:cNvPr>
            <xdr:cNvSpPr/>
          </xdr:nvSpPr>
          <xdr:spPr>
            <a:xfrm>
              <a:off x="2020252" y="1571625"/>
              <a:ext cx="5244465" cy="556261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100" b="1" baseline="0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SUBSCRIPTION MINECRAFT SEASON PASS</a:t>
              </a:r>
              <a:endParaRPr lang="pt-BR" sz="11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AB8A4256-1E71-4E16-8624-FCB4847EF220}"/>
              </a:ext>
            </a:extLst>
          </xdr:cNvPr>
          <xdr:cNvGrpSpPr/>
        </xdr:nvGrpSpPr>
        <xdr:grpSpPr>
          <a:xfrm>
            <a:off x="7868586" y="2424588"/>
            <a:ext cx="1066144" cy="714851"/>
            <a:chOff x="3495675" y="5400674"/>
            <a:chExt cx="1549476" cy="752476"/>
          </a:xfrm>
        </xdr:grpSpPr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0334B601-B2B9-5C52-A308-188C5E6D46B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9" name="Gráfico 18">
              <a:extLst>
                <a:ext uri="{FF2B5EF4-FFF2-40B4-BE49-F238E27FC236}">
                  <a16:creationId xmlns:a16="http://schemas.microsoft.com/office/drawing/2014/main" id="{A06233E3-51D8-91B1-638B-FDFA8D00A8A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1</xdr:col>
      <xdr:colOff>93353</xdr:colOff>
      <xdr:row>19</xdr:row>
      <xdr:rowOff>36731</xdr:rowOff>
    </xdr:from>
    <xdr:to>
      <xdr:col>20</xdr:col>
      <xdr:colOff>83809</xdr:colOff>
      <xdr:row>41</xdr:row>
      <xdr:rowOff>135256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2CE7FEE0-B4C2-7E4C-4917-26BD50E79590}"/>
            </a:ext>
          </a:extLst>
        </xdr:cNvPr>
        <xdr:cNvGrpSpPr/>
      </xdr:nvGrpSpPr>
      <xdr:grpSpPr>
        <a:xfrm>
          <a:off x="2025976" y="4108669"/>
          <a:ext cx="10680363" cy="4023777"/>
          <a:chOff x="2020253" y="4058662"/>
          <a:chExt cx="10659545" cy="4029492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4DE8AF10-C9B4-7D74-C3B4-26FA614E66E2}"/>
              </a:ext>
            </a:extLst>
          </xdr:cNvPr>
          <xdr:cNvGrpSpPr/>
        </xdr:nvGrpSpPr>
        <xdr:grpSpPr>
          <a:xfrm>
            <a:off x="2020263" y="4280536"/>
            <a:ext cx="10647009" cy="3809523"/>
            <a:chOff x="2169964" y="1892927"/>
            <a:chExt cx="6115050" cy="4226247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E8BD4525-8D19-F79F-9FCF-C146726CBFA1}"/>
                </a:ext>
              </a:extLst>
            </xdr:cNvPr>
            <xdr:cNvSpPr/>
          </xdr:nvSpPr>
          <xdr:spPr>
            <a:xfrm>
              <a:off x="2169964" y="1892927"/>
              <a:ext cx="6115050" cy="4226247"/>
            </a:xfrm>
            <a:prstGeom prst="roundRect">
              <a:avLst>
                <a:gd name="adj" fmla="val 566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64B6B9A5-FE3C-4430-B95B-543AB945C555}"/>
                </a:ext>
              </a:extLst>
            </xdr:cNvPr>
            <xdr:cNvGraphicFramePr>
              <a:graphicFrameLocks/>
            </xdr:cNvGraphicFramePr>
          </xdr:nvGraphicFramePr>
          <xdr:xfrm>
            <a:off x="2221476" y="2290181"/>
            <a:ext cx="5759188" cy="357509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sp macro="" textlink="">
        <xdr:nvSpPr>
          <xdr:cNvPr id="21" name="Retângulo: Cantos Superiores Arredondados 20">
            <a:extLst>
              <a:ext uri="{FF2B5EF4-FFF2-40B4-BE49-F238E27FC236}">
                <a16:creationId xmlns:a16="http://schemas.microsoft.com/office/drawing/2014/main" id="{C4366C92-1450-4321-84BE-11C4E0D55502}"/>
              </a:ext>
            </a:extLst>
          </xdr:cNvPr>
          <xdr:cNvSpPr/>
        </xdr:nvSpPr>
        <xdr:spPr>
          <a:xfrm>
            <a:off x="2020253" y="4058662"/>
            <a:ext cx="10659545" cy="51369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SUBSCRIPTION XBOX GAME PASS</a:t>
            </a:r>
            <a:endParaRPr lang="pt-BR" sz="11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134303</xdr:colOff>
      <xdr:row>0</xdr:row>
      <xdr:rowOff>15716</xdr:rowOff>
    </xdr:from>
    <xdr:to>
      <xdr:col>0</xdr:col>
      <xdr:colOff>1883093</xdr:colOff>
      <xdr:row>2</xdr:row>
      <xdr:rowOff>360046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74F45799-D6BA-E419-DBE3-3CAB76B0448B}"/>
            </a:ext>
          </a:extLst>
        </xdr:cNvPr>
        <xdr:cNvGrpSpPr/>
      </xdr:nvGrpSpPr>
      <xdr:grpSpPr>
        <a:xfrm>
          <a:off x="130493" y="19526"/>
          <a:ext cx="1756410" cy="1022986"/>
          <a:chOff x="134303" y="15716"/>
          <a:chExt cx="1748790" cy="1034416"/>
        </a:xfrm>
      </xdr:grpSpPr>
      <xdr:pic>
        <xdr:nvPicPr>
          <xdr:cNvPr id="2" name="Imagem 1">
            <a:extLst>
              <a:ext uri="{FF2B5EF4-FFF2-40B4-BE49-F238E27FC236}">
                <a16:creationId xmlns:a16="http://schemas.microsoft.com/office/drawing/2014/main" id="{FA373176-3A04-45EE-9411-377D3C9908E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582" t="19585" r="73452" b="23515"/>
          <a:stretch>
            <a:fillRect/>
          </a:stretch>
        </xdr:blipFill>
        <xdr:spPr>
          <a:xfrm>
            <a:off x="1045369" y="15716"/>
            <a:ext cx="837724" cy="794530"/>
          </a:xfrm>
          <a:prstGeom prst="rect">
            <a:avLst/>
          </a:prstGeom>
        </xdr:spPr>
      </xdr:pic>
      <xdr:sp macro="" textlink="">
        <xdr:nvSpPr>
          <xdr:cNvPr id="23" name="Elipse 22">
            <a:extLst>
              <a:ext uri="{FF2B5EF4-FFF2-40B4-BE49-F238E27FC236}">
                <a16:creationId xmlns:a16="http://schemas.microsoft.com/office/drawing/2014/main" id="{8B2CDB2C-EC9C-46F2-A4FD-D9867FCE5836}"/>
              </a:ext>
            </a:extLst>
          </xdr:cNvPr>
          <xdr:cNvSpPr/>
        </xdr:nvSpPr>
        <xdr:spPr>
          <a:xfrm>
            <a:off x="134303" y="101587"/>
            <a:ext cx="914876" cy="948545"/>
          </a:xfrm>
          <a:prstGeom prst="ellipse">
            <a:avLst/>
          </a:prstGeom>
          <a:blipFill>
            <a:blip xmlns:r="http://schemas.openxmlformats.org/officeDocument/2006/relationships" r:embed="rId7"/>
            <a:stretch>
              <a:fillRect/>
            </a:stretch>
          </a:blip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</xdr:grp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ia" refreshedDate="46060.91088541667" backgroundQuery="1" createdVersion="8" refreshedVersion="8" minRefreshableVersion="3" recordCount="0" supportSubquery="1" supportAdvancedDrill="1" xr:uid="{659B4363-037F-4BED-8CB9-B46007C7E945}">
  <cacheSource type="external" connectionId="2"/>
  <cacheFields count="3">
    <cacheField name="[Tabela1].[Subscription Type].[Subscription Type]" caption="Subscription Type" numFmtId="0" hierarchy="6" level="1">
      <sharedItems containsSemiMixedTypes="0" containsNonDate="0" containsString="0"/>
    </cacheField>
    <cacheField name="[Measures].[Soma de Total Value]" caption="Soma de Total Value" numFmtId="0" hierarchy="17" level="32767"/>
    <cacheField name="[Tabela1].[Auto Renewal].[Auto Renewal]" caption="Auto Renewal" numFmtId="0" hierarchy="4" level="1">
      <sharedItems count="2">
        <s v="No"/>
        <s v="Yes"/>
      </sharedItems>
    </cacheField>
  </cacheFields>
  <cacheHierarchies count="22">
    <cacheHierarchy uniqueName="[Tabela1].[Subscriber ID]" caption="Subscriber ID" attribute="1" defaultMemberUniqueName="[Tabela1].[Subscriber ID].[All]" allUniqueName="[Tabela1].[Subscriber ID].[All]" dimensionUniqueName="[Tabela1]" displayFolder="" count="0" memberValueDatatype="20" unbalanced="0"/>
    <cacheHierarchy uniqueName="[Tabela1].[Name]" caption="Name" attribute="1" defaultMemberUniqueName="[Tabela1].[Name].[All]" allUniqueName="[Tabela1].[Name].[All]" dimensionUniqueName="[Tabela1]" displayFolder="" count="0" memberValueDatatype="130" unbalanced="0"/>
    <cacheHierarchy uniqueName="[Tabela1].[Plan]" caption="Plan" attribute="1" defaultMemberUniqueName="[Tabela1].[Plan].[All]" allUniqueName="[Tabela1].[Plan].[All]" dimensionUniqueName="[Tabela1]" displayFolder="" count="0" memberValueDatatype="130" unbalanced="0"/>
    <cacheHierarchy uniqueName="[Tabela1].[Start Date]" caption="Start Date" attribute="1" time="1" defaultMemberUniqueName="[Tabela1].[Start Date].[All]" allUniqueName="[Tabela1].[Start Date].[All]" dimensionUniqueName="[Tabela1]" displayFolder="" count="0" memberValueDatatype="7" unbalanced="0"/>
    <cacheHierarchy uniqueName="[Tabela1].[Auto Renewal]" caption="Auto Renewal" attribute="1" defaultMemberUniqueName="[Tabela1].[Auto Renewal].[All]" allUniqueName="[Tabela1].[Auto Renewal].[All]" dimensionUniqueName="[Tabela1]" displayFolder="" count="2" memberValueDatatype="130" unbalanced="0">
      <fieldsUsage count="2">
        <fieldUsage x="-1"/>
        <fieldUsage x="2"/>
      </fieldsUsage>
    </cacheHierarchy>
    <cacheHierarchy uniqueName="[Tabela1].[Subscription Price]" caption="Subscription Price" attribute="1" defaultMemberUniqueName="[Tabela1].[Subscription Price].[All]" allUniqueName="[Tabela1].[Subscription Price].[All]" dimensionUniqueName="[Tabela1]" displayFolder="" count="0" memberValueDatatype="20" unbalanced="0"/>
    <cacheHierarchy uniqueName="[Tabela1].[Subscription Type]" caption="Subscription Type" attribute="1" defaultMemberUniqueName="[Tabela1].[Subscription Type].[All]" allUniqueName="[Tabela1].[Subscription Type].[All]" dimensionUniqueName="[Tabela1]" displayFolder="" count="2" memberValueDatatype="130" unbalanced="0">
      <fieldsUsage count="2">
        <fieldUsage x="-1"/>
        <fieldUsage x="0"/>
      </fieldsUsage>
    </cacheHierarchy>
    <cacheHierarchy uniqueName="[Tabela1].[EA Play Season Pass]" caption="EA Play Season Pass" attribute="1" defaultMemberUniqueName="[Tabela1].[EA Play Season Pass].[All]" allUniqueName="[Tabela1].[EA Play Season Pass].[All]" dimensionUniqueName="[Tabela1]" displayFolder="" count="0" memberValueDatatype="130" unbalanced="0"/>
    <cacheHierarchy uniqueName="[Tabela1].[EA Play Season Pass Price]" caption="EA Play Season Pass Price" attribute="1" defaultMemberUniqueName="[Tabela1].[EA Play Season Pass Price].[All]" allUniqueName="[Tabela1].[EA Play Season Pass Price].[All]" dimensionUniqueName="[Tabela1]" displayFolder="" count="0" memberValueDatatype="20" unbalanced="0"/>
    <cacheHierarchy uniqueName="[Tabela1].[Minecraft Season Pass]" caption="Minecraft Season Pass" attribute="1" defaultMemberUniqueName="[Tabela1].[Minecraft Season Pass].[All]" allUniqueName="[Tabela1].[Minecraft Season Pass].[All]" dimensionUniqueName="[Tabela1]" displayFolder="" count="0" memberValueDatatype="130" unbalanced="0"/>
    <cacheHierarchy uniqueName="[Tabela1].[Minecraft Season Pass Price]" caption="Minecraft Season Pass Price" attribute="1" defaultMemberUniqueName="[Tabela1].[Minecraft Season Pass Price].[All]" allUniqueName="[Tabela1].[Minecraft Season Pass Price].[All]" dimensionUniqueName="[Tabela1]" displayFolder="" count="0" memberValueDatatype="20" unbalanced="0"/>
    <cacheHierarchy uniqueName="[Tabela1].[Coupon Value]" caption="Coupon Value" attribute="1" defaultMemberUniqueName="[Tabela1].[Coupon Value].[All]" allUniqueName="[Tabela1].[Coupon Value].[All]" dimensionUniqueName="[Tabela1]" displayFolder="" count="0" memberValueDatatype="20" unbalanced="0"/>
    <cacheHierarchy uniqueName="[Tabela1].[Total Value]" caption="Total Value" attribute="1" defaultMemberUniqueName="[Tabela1].[Total Value].[All]" allUniqueName="[Tabela1].[Total Value].[All]" dimensionUniqueName="[Tabela1]" displayFolder="" count="0" memberValueDatatype="20" unbalanced="0"/>
    <cacheHierarchy uniqueName="[Tabela1].[Start Date (Mês)]" caption="Start Date (Mês)" attribute="1" defaultMemberUniqueName="[Tabela1].[Start Date (Mês)].[All]" allUniqueName="[Tabela1].[Start Date (Mês)].[All]" dimensionUniqueName="[Tabela1]" displayFolder="" count="0" memberValueDatatype="130" unbalanced="0"/>
    <cacheHierarchy uniqueName="[Tabela1].[Start Date (Índice de Mês)]" caption="Start Date (Índice de Mês)" attribute="1" defaultMemberUniqueName="[Tabela1].[Start Date (Índice de Mês)].[All]" allUniqueName="[Tabela1].[Start Date (Índice de Mês)].[All]" dimensionUniqueName="[Tabela1]" displayFolder="" count="0" memberValueDatatype="20" unbalanced="0" hidden="1"/>
    <cacheHierarchy uniqueName="[Measures].[__XL_Count Tabela1]" caption="__XL_Count Tabela1" measure="1" displayFolder="" measureGroup="Tabela1" count="0" hidden="1"/>
    <cacheHierarchy uniqueName="[Measures].[__No measures defined]" caption="__No measures defined" measure="1" displayFolder="" count="0" hidden="1"/>
    <cacheHierarchy uniqueName="[Measures].[Soma de Total Value]" caption="Soma de Total Value" measure="1" displayFolder="" measureGroup="Tabela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ntagem de EA Play Season Pass Price]" caption="Contagem de EA Play Season Pass Price" measure="1" displayFolder="" measureGroup="Tabela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ntagem de EA Play Season Pass]" caption="Contagem de EA Play Season Pass" measure="1" displayFolder="" measureGroup="Tabela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EA Play Season Pass Price]" caption="Soma de EA Play Season Pass Price" measure="1" displayFolder="" measureGroup="Tabela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a de Minecraft Season Pass Price]" caption="Soma de Minecraft Season Pass Price" measure="1" displayFolder="" measureGroup="Tabela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Tabela1" uniqueName="[Tabela1]" caption="Tabela1"/>
  </dimensions>
  <measureGroups count="1">
    <measureGroup name="Tabela1" caption="Tabe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ia" refreshedDate="46060.910886111109" backgroundQuery="1" createdVersion="8" refreshedVersion="8" minRefreshableVersion="3" recordCount="0" supportSubquery="1" supportAdvancedDrill="1" xr:uid="{1BF307A3-CE3E-4C76-A835-0DDB9A1B5E3A}">
  <cacheSource type="external" connectionId="2"/>
  <cacheFields count="3">
    <cacheField name="[Tabela1].[Subscription Type].[Subscription Type]" caption="Subscription Type" numFmtId="0" hierarchy="6" level="1">
      <sharedItems containsSemiMixedTypes="0" containsNonDate="0" containsString="0"/>
    </cacheField>
    <cacheField name="[Tabela1].[Plan].[Plan]" caption="Plan" numFmtId="0" hierarchy="2" level="1">
      <sharedItems count="1">
        <s v="Ultimate"/>
      </sharedItems>
    </cacheField>
    <cacheField name="[Measures].[Soma de EA Play Season Pass Price]" caption="Soma de EA Play Season Pass Price" numFmtId="0" hierarchy="20" level="32767"/>
  </cacheFields>
  <cacheHierarchies count="22">
    <cacheHierarchy uniqueName="[Tabela1].[Subscriber ID]" caption="Subscriber ID" attribute="1" defaultMemberUniqueName="[Tabela1].[Subscriber ID].[All]" allUniqueName="[Tabela1].[Subscriber ID].[All]" dimensionUniqueName="[Tabela1]" displayFolder="" count="0" memberValueDatatype="20" unbalanced="0"/>
    <cacheHierarchy uniqueName="[Tabela1].[Name]" caption="Name" attribute="1" defaultMemberUniqueName="[Tabela1].[Name].[All]" allUniqueName="[Tabela1].[Name].[All]" dimensionUniqueName="[Tabela1]" displayFolder="" count="0" memberValueDatatype="130" unbalanced="0"/>
    <cacheHierarchy uniqueName="[Tabela1].[Plan]" caption="Plan" attribute="1" defaultMemberUniqueName="[Tabela1].[Plan].[All]" allUniqueName="[Tabela1].[Plan].[All]" dimensionUniqueName="[Tabela1]" displayFolder="" count="2" memberValueDatatype="130" unbalanced="0">
      <fieldsUsage count="2">
        <fieldUsage x="-1"/>
        <fieldUsage x="1"/>
      </fieldsUsage>
    </cacheHierarchy>
    <cacheHierarchy uniqueName="[Tabela1].[Start Date]" caption="Start Date" attribute="1" time="1" defaultMemberUniqueName="[Tabela1].[Start Date].[All]" allUniqueName="[Tabela1].[Start Date].[All]" dimensionUniqueName="[Tabela1]" displayFolder="" count="0" memberValueDatatype="7" unbalanced="0"/>
    <cacheHierarchy uniqueName="[Tabela1].[Auto Renewal]" caption="Auto Renewal" attribute="1" defaultMemberUniqueName="[Tabela1].[Auto Renewal].[All]" allUniqueName="[Tabela1].[Auto Renewal].[All]" dimensionUniqueName="[Tabela1]" displayFolder="" count="0" memberValueDatatype="130" unbalanced="0"/>
    <cacheHierarchy uniqueName="[Tabela1].[Subscription Price]" caption="Subscription Price" attribute="1" defaultMemberUniqueName="[Tabela1].[Subscription Price].[All]" allUniqueName="[Tabela1].[Subscription Price].[All]" dimensionUniqueName="[Tabela1]" displayFolder="" count="0" memberValueDatatype="20" unbalanced="0"/>
    <cacheHierarchy uniqueName="[Tabela1].[Subscription Type]" caption="Subscription Type" attribute="1" defaultMemberUniqueName="[Tabela1].[Subscription Type].[All]" allUniqueName="[Tabela1].[Subscription Type].[All]" dimensionUniqueName="[Tabela1]" displayFolder="" count="2" memberValueDatatype="130" unbalanced="0">
      <fieldsUsage count="2">
        <fieldUsage x="-1"/>
        <fieldUsage x="0"/>
      </fieldsUsage>
    </cacheHierarchy>
    <cacheHierarchy uniqueName="[Tabela1].[EA Play Season Pass]" caption="EA Play Season Pass" attribute="1" defaultMemberUniqueName="[Tabela1].[EA Play Season Pass].[All]" allUniqueName="[Tabela1].[EA Play Season Pass].[All]" dimensionUniqueName="[Tabela1]" displayFolder="" count="0" memberValueDatatype="130" unbalanced="0"/>
    <cacheHierarchy uniqueName="[Tabela1].[EA Play Season Pass Price]" caption="EA Play Season Pass Price" attribute="1" defaultMemberUniqueName="[Tabela1].[EA Play Season Pass Price].[All]" allUniqueName="[Tabela1].[EA Play Season Pass Price].[All]" dimensionUniqueName="[Tabela1]" displayFolder="" count="0" memberValueDatatype="20" unbalanced="0"/>
    <cacheHierarchy uniqueName="[Tabela1].[Minecraft Season Pass]" caption="Minecraft Season Pass" attribute="1" defaultMemberUniqueName="[Tabela1].[Minecraft Season Pass].[All]" allUniqueName="[Tabela1].[Minecraft Season Pass].[All]" dimensionUniqueName="[Tabela1]" displayFolder="" count="0" memberValueDatatype="130" unbalanced="0"/>
    <cacheHierarchy uniqueName="[Tabela1].[Minecraft Season Pass Price]" caption="Minecraft Season Pass Price" attribute="1" defaultMemberUniqueName="[Tabela1].[Minecraft Season Pass Price].[All]" allUniqueName="[Tabela1].[Minecraft Season Pass Price].[All]" dimensionUniqueName="[Tabela1]" displayFolder="" count="0" memberValueDatatype="20" unbalanced="0"/>
    <cacheHierarchy uniqueName="[Tabela1].[Coupon Value]" caption="Coupon Value" attribute="1" defaultMemberUniqueName="[Tabela1].[Coupon Value].[All]" allUniqueName="[Tabela1].[Coupon Value].[All]" dimensionUniqueName="[Tabela1]" displayFolder="" count="0" memberValueDatatype="20" unbalanced="0"/>
    <cacheHierarchy uniqueName="[Tabela1].[Total Value]" caption="Total Value" attribute="1" defaultMemberUniqueName="[Tabela1].[Total Value].[All]" allUniqueName="[Tabela1].[Total Value].[All]" dimensionUniqueName="[Tabela1]" displayFolder="" count="0" memberValueDatatype="20" unbalanced="0"/>
    <cacheHierarchy uniqueName="[Tabela1].[Start Date (Mês)]" caption="Start Date (Mês)" attribute="1" defaultMemberUniqueName="[Tabela1].[Start Date (Mês)].[All]" allUniqueName="[Tabela1].[Start Date (Mês)].[All]" dimensionUniqueName="[Tabela1]" displayFolder="" count="0" memberValueDatatype="130" unbalanced="0"/>
    <cacheHierarchy uniqueName="[Tabela1].[Start Date (Índice de Mês)]" caption="Start Date (Índice de Mês)" attribute="1" defaultMemberUniqueName="[Tabela1].[Start Date (Índice de Mês)].[All]" allUniqueName="[Tabela1].[Start Date (Índice de Mês)].[All]" dimensionUniqueName="[Tabela1]" displayFolder="" count="0" memberValueDatatype="20" unbalanced="0" hidden="1"/>
    <cacheHierarchy uniqueName="[Measures].[__XL_Count Tabela1]" caption="__XL_Count Tabela1" measure="1" displayFolder="" measureGroup="Tabela1" count="0" hidden="1"/>
    <cacheHierarchy uniqueName="[Measures].[__No measures defined]" caption="__No measures defined" measure="1" displayFolder="" count="0" hidden="1"/>
    <cacheHierarchy uniqueName="[Measures].[Soma de Total Value]" caption="Soma de Total Value" measure="1" displayFolder="" measureGroup="Tabela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ntagem de EA Play Season Pass Price]" caption="Contagem de EA Play Season Pass Price" measure="1" displayFolder="" measureGroup="Tabela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ntagem de EA Play Season Pass]" caption="Contagem de EA Play Season Pass" measure="1" displayFolder="" measureGroup="Tabela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EA Play Season Pass Price]" caption="Soma de EA Play Season Pass Price" measure="1" displayFolder="" measureGroup="Tabela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a de Minecraft Season Pass Price]" caption="Soma de Minecraft Season Pass Price" measure="1" displayFolder="" measureGroup="Tabela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Tabela1" uniqueName="[Tabela1]" caption="Tabela1"/>
  </dimensions>
  <measureGroups count="1">
    <measureGroup name="Tabela1" caption="Tabe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ia" refreshedDate="46060.910886689817" backgroundQuery="1" createdVersion="8" refreshedVersion="8" minRefreshableVersion="3" recordCount="0" supportSubquery="1" supportAdvancedDrill="1" xr:uid="{2131573D-C6F0-4601-B715-ECBC57A07000}">
  <cacheSource type="external" connectionId="2"/>
  <cacheFields count="3">
    <cacheField name="[Tabela1].[Subscription Type].[Subscription Type]" caption="Subscription Type" numFmtId="0" hierarchy="6" level="1">
      <sharedItems containsSemiMixedTypes="0" containsNonDate="0" containsString="0"/>
    </cacheField>
    <cacheField name="[Tabela1].[Plan].[Plan]" caption="Plan" numFmtId="0" hierarchy="2" level="1">
      <sharedItems count="3">
        <s v="Core"/>
        <s v="Standard"/>
        <s v="Ultimate"/>
      </sharedItems>
    </cacheField>
    <cacheField name="[Measures].[Soma de Minecraft Season Pass Price]" caption="Soma de Minecraft Season Pass Price" numFmtId="0" hierarchy="21" level="32767"/>
  </cacheFields>
  <cacheHierarchies count="22">
    <cacheHierarchy uniqueName="[Tabela1].[Subscriber ID]" caption="Subscriber ID" attribute="1" defaultMemberUniqueName="[Tabela1].[Subscriber ID].[All]" allUniqueName="[Tabela1].[Subscriber ID].[All]" dimensionUniqueName="[Tabela1]" displayFolder="" count="0" memberValueDatatype="20" unbalanced="0"/>
    <cacheHierarchy uniqueName="[Tabela1].[Name]" caption="Name" attribute="1" defaultMemberUniqueName="[Tabela1].[Name].[All]" allUniqueName="[Tabela1].[Name].[All]" dimensionUniqueName="[Tabela1]" displayFolder="" count="0" memberValueDatatype="130" unbalanced="0"/>
    <cacheHierarchy uniqueName="[Tabela1].[Plan]" caption="Plan" attribute="1" defaultMemberUniqueName="[Tabela1].[Plan].[All]" allUniqueName="[Tabela1].[Plan].[All]" dimensionUniqueName="[Tabela1]" displayFolder="" count="2" memberValueDatatype="130" unbalanced="0">
      <fieldsUsage count="2">
        <fieldUsage x="-1"/>
        <fieldUsage x="1"/>
      </fieldsUsage>
    </cacheHierarchy>
    <cacheHierarchy uniqueName="[Tabela1].[Start Date]" caption="Start Date" attribute="1" time="1" defaultMemberUniqueName="[Tabela1].[Start Date].[All]" allUniqueName="[Tabela1].[Start Date].[All]" dimensionUniqueName="[Tabela1]" displayFolder="" count="0" memberValueDatatype="7" unbalanced="0"/>
    <cacheHierarchy uniqueName="[Tabela1].[Auto Renewal]" caption="Auto Renewal" attribute="1" defaultMemberUniqueName="[Tabela1].[Auto Renewal].[All]" allUniqueName="[Tabela1].[Auto Renewal].[All]" dimensionUniqueName="[Tabela1]" displayFolder="" count="0" memberValueDatatype="130" unbalanced="0"/>
    <cacheHierarchy uniqueName="[Tabela1].[Subscription Price]" caption="Subscription Price" attribute="1" defaultMemberUniqueName="[Tabela1].[Subscription Price].[All]" allUniqueName="[Tabela1].[Subscription Price].[All]" dimensionUniqueName="[Tabela1]" displayFolder="" count="0" memberValueDatatype="20" unbalanced="0"/>
    <cacheHierarchy uniqueName="[Tabela1].[Subscription Type]" caption="Subscription Type" attribute="1" defaultMemberUniqueName="[Tabela1].[Subscription Type].[All]" allUniqueName="[Tabela1].[Subscription Type].[All]" dimensionUniqueName="[Tabela1]" displayFolder="" count="2" memberValueDatatype="130" unbalanced="0">
      <fieldsUsage count="2">
        <fieldUsage x="-1"/>
        <fieldUsage x="0"/>
      </fieldsUsage>
    </cacheHierarchy>
    <cacheHierarchy uniqueName="[Tabela1].[EA Play Season Pass]" caption="EA Play Season Pass" attribute="1" defaultMemberUniqueName="[Tabela1].[EA Play Season Pass].[All]" allUniqueName="[Tabela1].[EA Play Season Pass].[All]" dimensionUniqueName="[Tabela1]" displayFolder="" count="0" memberValueDatatype="130" unbalanced="0"/>
    <cacheHierarchy uniqueName="[Tabela1].[EA Play Season Pass Price]" caption="EA Play Season Pass Price" attribute="1" defaultMemberUniqueName="[Tabela1].[EA Play Season Pass Price].[All]" allUniqueName="[Tabela1].[EA Play Season Pass Price].[All]" dimensionUniqueName="[Tabela1]" displayFolder="" count="0" memberValueDatatype="20" unbalanced="0"/>
    <cacheHierarchy uniqueName="[Tabela1].[Minecraft Season Pass]" caption="Minecraft Season Pass" attribute="1" defaultMemberUniqueName="[Tabela1].[Minecraft Season Pass].[All]" allUniqueName="[Tabela1].[Minecraft Season Pass].[All]" dimensionUniqueName="[Tabela1]" displayFolder="" count="0" memberValueDatatype="130" unbalanced="0"/>
    <cacheHierarchy uniqueName="[Tabela1].[Minecraft Season Pass Price]" caption="Minecraft Season Pass Price" attribute="1" defaultMemberUniqueName="[Tabela1].[Minecraft Season Pass Price].[All]" allUniqueName="[Tabela1].[Minecraft Season Pass Price].[All]" dimensionUniqueName="[Tabela1]" displayFolder="" count="0" memberValueDatatype="20" unbalanced="0"/>
    <cacheHierarchy uniqueName="[Tabela1].[Coupon Value]" caption="Coupon Value" attribute="1" defaultMemberUniqueName="[Tabela1].[Coupon Value].[All]" allUniqueName="[Tabela1].[Coupon Value].[All]" dimensionUniqueName="[Tabela1]" displayFolder="" count="0" memberValueDatatype="20" unbalanced="0"/>
    <cacheHierarchy uniqueName="[Tabela1].[Total Value]" caption="Total Value" attribute="1" defaultMemberUniqueName="[Tabela1].[Total Value].[All]" allUniqueName="[Tabela1].[Total Value].[All]" dimensionUniqueName="[Tabela1]" displayFolder="" count="0" memberValueDatatype="20" unbalanced="0"/>
    <cacheHierarchy uniqueName="[Tabela1].[Start Date (Mês)]" caption="Start Date (Mês)" attribute="1" defaultMemberUniqueName="[Tabela1].[Start Date (Mês)].[All]" allUniqueName="[Tabela1].[Start Date (Mês)].[All]" dimensionUniqueName="[Tabela1]" displayFolder="" count="0" memberValueDatatype="130" unbalanced="0"/>
    <cacheHierarchy uniqueName="[Tabela1].[Start Date (Índice de Mês)]" caption="Start Date (Índice de Mês)" attribute="1" defaultMemberUniqueName="[Tabela1].[Start Date (Índice de Mês)].[All]" allUniqueName="[Tabela1].[Start Date (Índice de Mês)].[All]" dimensionUniqueName="[Tabela1]" displayFolder="" count="0" memberValueDatatype="20" unbalanced="0" hidden="1"/>
    <cacheHierarchy uniqueName="[Measures].[__XL_Count Tabela1]" caption="__XL_Count Tabela1" measure="1" displayFolder="" measureGroup="Tabela1" count="0" hidden="1"/>
    <cacheHierarchy uniqueName="[Measures].[__No measures defined]" caption="__No measures defined" measure="1" displayFolder="" count="0" hidden="1"/>
    <cacheHierarchy uniqueName="[Measures].[Soma de Total Value]" caption="Soma de Total Value" measure="1" displayFolder="" measureGroup="Tabela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ntagem de EA Play Season Pass Price]" caption="Contagem de EA Play Season Pass Price" measure="1" displayFolder="" measureGroup="Tabela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ntagem de EA Play Season Pass]" caption="Contagem de EA Play Season Pass" measure="1" displayFolder="" measureGroup="Tabela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EA Play Season Pass Price]" caption="Soma de EA Play Season Pass Price" measure="1" displayFolder="" measureGroup="Tabela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a de Minecraft Season Pass Price]" caption="Soma de Minecraft Season Pass Price" measure="1" displayFolder="" measureGroup="Tabela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Tabela1" uniqueName="[Tabela1]" caption="Tabela1"/>
  </dimensions>
  <measureGroups count="1">
    <measureGroup name="Tabela1" caption="Tabe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ia" refreshedDate="46060.860588425923" backgroundQuery="1" createdVersion="3" refreshedVersion="8" minRefreshableVersion="3" recordCount="0" supportSubquery="1" supportAdvancedDrill="1" xr:uid="{74610323-36FC-4AFC-8552-8E3D5ECE18FF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0">
    <cacheHierarchy uniqueName="[Tabela1].[Subscriber ID]" caption="Subscriber ID" attribute="1" defaultMemberUniqueName="[Tabela1].[Subscriber ID].[All]" allUniqueName="[Tabela1].[Subscriber ID].[All]" dimensionUniqueName="[Tabela1]" displayFolder="" count="0" memberValueDatatype="20" unbalanced="0"/>
    <cacheHierarchy uniqueName="[Tabela1].[Name]" caption="Name" attribute="1" defaultMemberUniqueName="[Tabela1].[Name].[All]" allUniqueName="[Tabela1].[Name].[All]" dimensionUniqueName="[Tabela1]" displayFolder="" count="0" memberValueDatatype="130" unbalanced="0"/>
    <cacheHierarchy uniqueName="[Tabela1].[Plan]" caption="Plan" attribute="1" defaultMemberUniqueName="[Tabela1].[Plan].[All]" allUniqueName="[Tabela1].[Plan].[All]" dimensionUniqueName="[Tabela1]" displayFolder="" count="0" memberValueDatatype="130" unbalanced="0"/>
    <cacheHierarchy uniqueName="[Tabela1].[Start Date]" caption="Start Date" attribute="1" time="1" defaultMemberUniqueName="[Tabela1].[Start Date].[All]" allUniqueName="[Tabela1].[Start Date].[All]" dimensionUniqueName="[Tabela1]" displayFolder="" count="0" memberValueDatatype="7" unbalanced="0"/>
    <cacheHierarchy uniqueName="[Tabela1].[Auto Renewal]" caption="Auto Renewal" attribute="1" defaultMemberUniqueName="[Tabela1].[Auto Renewal].[All]" allUniqueName="[Tabela1].[Auto Renewal].[All]" dimensionUniqueName="[Tabela1]" displayFolder="" count="0" memberValueDatatype="130" unbalanced="0"/>
    <cacheHierarchy uniqueName="[Tabela1].[Subscription Price]" caption="Subscription Price" attribute="1" defaultMemberUniqueName="[Tabela1].[Subscription Price].[All]" allUniqueName="[Tabela1].[Subscription Price].[All]" dimensionUniqueName="[Tabela1]" displayFolder="" count="0" memberValueDatatype="20" unbalanced="0"/>
    <cacheHierarchy uniqueName="[Tabela1].[Subscription Type]" caption="Subscription Type" attribute="1" defaultMemberUniqueName="[Tabela1].[Subscription Type].[All]" allUniqueName="[Tabela1].[Subscription Type].[All]" dimensionUniqueName="[Tabela1]" displayFolder="" count="2" memberValueDatatype="130" unbalanced="0"/>
    <cacheHierarchy uniqueName="[Tabela1].[EA Play Season Pass]" caption="EA Play Season Pass" attribute="1" defaultMemberUniqueName="[Tabela1].[EA Play Season Pass].[All]" allUniqueName="[Tabela1].[EA Play Season Pass].[All]" dimensionUniqueName="[Tabela1]" displayFolder="" count="0" memberValueDatatype="130" unbalanced="0"/>
    <cacheHierarchy uniqueName="[Tabela1].[EA Play Season Pass Price]" caption="EA Play Season Pass Price" attribute="1" defaultMemberUniqueName="[Tabela1].[EA Play Season Pass Price].[All]" allUniqueName="[Tabela1].[EA Play Season Pass Price].[All]" dimensionUniqueName="[Tabela1]" displayFolder="" count="0" memberValueDatatype="20" unbalanced="0"/>
    <cacheHierarchy uniqueName="[Tabela1].[Minecraft Season Pass]" caption="Minecraft Season Pass" attribute="1" defaultMemberUniqueName="[Tabela1].[Minecraft Season Pass].[All]" allUniqueName="[Tabela1].[Minecraft Season Pass].[All]" dimensionUniqueName="[Tabela1]" displayFolder="" count="0" memberValueDatatype="130" unbalanced="0"/>
    <cacheHierarchy uniqueName="[Tabela1].[Minecraft Season Pass Price]" caption="Minecraft Season Pass Price" attribute="1" defaultMemberUniqueName="[Tabela1].[Minecraft Season Pass Price].[All]" allUniqueName="[Tabela1].[Minecraft Season Pass Price].[All]" dimensionUniqueName="[Tabela1]" displayFolder="" count="0" memberValueDatatype="20" unbalanced="0"/>
    <cacheHierarchy uniqueName="[Tabela1].[Coupon Value]" caption="Coupon Value" attribute="1" defaultMemberUniqueName="[Tabela1].[Coupon Value].[All]" allUniqueName="[Tabela1].[Coupon Value].[All]" dimensionUniqueName="[Tabela1]" displayFolder="" count="0" memberValueDatatype="20" unbalanced="0"/>
    <cacheHierarchy uniqueName="[Tabela1].[Total Value]" caption="Total Value" attribute="1" defaultMemberUniqueName="[Tabela1].[Total Value].[All]" allUniqueName="[Tabela1].[Total Value].[All]" dimensionUniqueName="[Tabela1]" displayFolder="" count="0" memberValueDatatype="20" unbalanced="0"/>
    <cacheHierarchy uniqueName="[Tabela1].[Start Date (Mês)]" caption="Start Date (Mês)" attribute="1" defaultMemberUniqueName="[Tabela1].[Start Date (Mês)].[All]" allUniqueName="[Tabela1].[Start Date (Mês)].[All]" dimensionUniqueName="[Tabela1]" displayFolder="" count="0" memberValueDatatype="130" unbalanced="0"/>
    <cacheHierarchy uniqueName="[Tabela1].[Start Date (Índice de Mês)]" caption="Start Date (Índice de Mês)" attribute="1" defaultMemberUniqueName="[Tabela1].[Start Date (Índice de Mês)].[All]" allUniqueName="[Tabela1].[Start Date (Índice de Mês)].[All]" dimensionUniqueName="[Tabela1]" displayFolder="" count="0" memberValueDatatype="20" unbalanced="0" hidden="1"/>
    <cacheHierarchy uniqueName="[Measures].[__XL_Count Tabela1]" caption="__XL_Count Tabela1" measure="1" displayFolder="" measureGroup="Tabela1" count="0" hidden="1"/>
    <cacheHierarchy uniqueName="[Measures].[__No measures defined]" caption="__No measures defined" measure="1" displayFolder="" count="0" hidden="1"/>
    <cacheHierarchy uniqueName="[Measures].[Soma de Total Value]" caption="Soma de Total Value" measure="1" displayFolder="" measureGroup="Tabela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ntagem de EA Play Season Pass Price]" caption="Contagem de EA Play Season Pass Price" measure="1" displayFolder="" measureGroup="Tabela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ntagem de EA Play Season Pass]" caption="Contagem de EA Play Season Pass" measure="1" displayFolder="" measureGroup="Tabela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627280712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3FF07A-3494-4C83-8AC2-7DCAF71BD1C6}" name="Tabela dinâmica3" cacheId="725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multipleFieldFilters="0" chartFormat="5">
  <location ref="B30:C34" firstHeaderRow="1" firstDataRow="1" firstDataCol="1" rowPageCount="1" colPageCount="1"/>
  <pivotFields count="3">
    <pivotField axis="axisPage" allDrilled="1" showAll="0" dataSourceSort="1" defaultAttributeDrillState="1">
      <items count="1">
        <item t="default"/>
      </items>
    </pivotField>
    <pivotField axis="axisRow" allDrilled="1" showAll="0" dataSourceSort="1" defaultAttributeDrillState="1">
      <items count="4">
        <item x="0"/>
        <item x="1"/>
        <item x="2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0" hier="6" name="[Tabela1].[Subscription Type].&amp;[Quarterly]" cap="Quarterly"/>
  </pageFields>
  <dataFields count="1">
    <dataField name="Soma de Minecraft Season Pass Price" fld="2" baseField="0" baseItem="0"/>
  </dataFields>
  <formats count="1">
    <format dxfId="66">
      <pivotArea outline="0" collapsedLevelsAreSubtotals="1" fieldPosition="0"/>
    </format>
  </formats>
  <pivotHierarchies count="22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ela1].[Subscription Type].&amp;[Quarterly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805d54f9-6d53-4246-bed7-4aa2da615923.xlsx!Tabela1">
        <x15:activeTabTopLevelEntity name="[Tabela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BADBDE-69CA-4BE6-A4B2-862006B5E9BA}" name="tbl_easeseasonpass_total" cacheId="722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multipleFieldFilters="0" chartFormat="5">
  <location ref="B21:C23" firstHeaderRow="1" firstDataRow="1" firstDataCol="1" rowPageCount="1" colPageCount="1"/>
  <pivotFields count="3">
    <pivotField axis="axisPage" allDrilled="1" showAll="0" dataSourceSort="1" defaultAttributeDrillState="1">
      <items count="1">
        <item t="default"/>
      </items>
    </pivotField>
    <pivotField axis="axisRow" allDrilled="1" showAll="0" dataSourceSort="1" defaultAttributeDrillState="1">
      <items count="2">
        <item x="0"/>
        <item t="default"/>
      </items>
    </pivotField>
    <pivotField dataField="1" showAll="0"/>
  </pivotFields>
  <rowFields count="1">
    <field x="1"/>
  </rowFields>
  <rowItems count="2">
    <i>
      <x/>
    </i>
    <i t="grand">
      <x/>
    </i>
  </rowItems>
  <colItems count="1">
    <i/>
  </colItems>
  <pageFields count="1">
    <pageField fld="0" hier="6" name="[Tabela1].[Subscription Type].&amp;[Quarterly]" cap="Quarterly"/>
  </pageFields>
  <dataFields count="1">
    <dataField name="Soma de EA Play Season Pass Price" fld="2" baseField="0" baseItem="0"/>
  </dataFields>
  <formats count="1">
    <format dxfId="68">
      <pivotArea outline="0" collapsedLevelsAreSubtotals="1" fieldPosition="0"/>
    </format>
  </formats>
  <pivotHierarchies count="22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ela1].[Subscription Type].&amp;[Quarterly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805d54f9-6d53-4246-bed7-4aa2da615923.xlsx!Tabela1">
        <x15:activeTabTopLevelEntity name="[Tabela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60BD75-9803-43ED-BC19-A1A83461FEC3}" name="tbl_annual_total" cacheId="7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chartFormat="5">
  <location ref="B12:C15" firstHeaderRow="1" firstDataRow="1" firstDataCol="1" rowPageCount="1" colPageCount="1"/>
  <pivotFields count="3">
    <pivotField axis="axisPage" allDrilled="1" showAll="0" dataSourceSort="1" defaultAttributeDrillState="1">
      <items count="1">
        <item t="default"/>
      </items>
    </pivotField>
    <pivotField dataField="1" showAll="0"/>
    <pivotField axis="axisRow" allDrilled="1" showAll="0" dataSourceSort="1" defaultAttributeDrillState="1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pageFields count="1">
    <pageField fld="0" hier="6" name="[Tabela1].[Subscription Type].&amp;[Quarterly]" cap="Quarterly"/>
  </pageFields>
  <dataFields count="1">
    <dataField name="Soma de Total Value" fld="1" baseField="0" baseItem="0" numFmtId="44"/>
  </dataFields>
  <formats count="1">
    <format dxfId="77">
      <pivotArea outline="0" collapsedLevelsAreSubtotals="1" fieldPosition="0"/>
    </format>
  </formats>
  <chartFormats count="3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Hierarchies count="22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ela1].[Subscription Type].&amp;[Quarterly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805d54f9-6d53-4246-bed7-4aa2da615923.xlsx!Tabela1">
        <x15:activeTabTopLevelEntity name="[Tabela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backgroundRefresh="0" connectionId="1" xr16:uid="{F41B8E14-1614-47D7-8495-B549ACA21781}" autoFormatId="16" applyNumberFormats="0" applyBorderFormats="0" applyFontFormats="0" applyPatternFormats="0" applyAlignmentFormats="0" applyWidthHeightFormats="0">
  <queryTableRefresh nextId="17">
    <queryTableFields count="15">
      <queryTableField id="1" name="Tabela1[Subscriber ID]" tableColumnId="1"/>
      <queryTableField id="2" name="Tabela1[Name]" tableColumnId="2"/>
      <queryTableField id="3" name="Tabela1[Plan]" tableColumnId="3"/>
      <queryTableField id="4" name="Tabela1[Start Date]" tableColumnId="4"/>
      <queryTableField id="5" name="Tabela1[Auto Renewal]" tableColumnId="5"/>
      <queryTableField id="6" name="Tabela1[Subscription Price]" tableColumnId="6"/>
      <queryTableField id="7" name="Tabela1[Subscription Type]" tableColumnId="7"/>
      <queryTableField id="8" name="Tabela1[EA Play Season Pass]" tableColumnId="8"/>
      <queryTableField id="9" name="Tabela1[EA Play Season Pass Price]" tableColumnId="9"/>
      <queryTableField id="10" name="Tabela1[Minecraft Season Pass]" tableColumnId="10"/>
      <queryTableField id="11" name="Tabela1[Minecraft Season Pass Price]" tableColumnId="11"/>
      <queryTableField id="12" name="Tabela1[Coupon Value]" tableColumnId="12"/>
      <queryTableField id="13" name="Tabela1[Total Value]" tableColumnId="13"/>
      <queryTableField id="14" name="Tabela1[Start Date (Mês)]" tableColumnId="14"/>
      <queryTableField id="15" name="Tabela1[Start Date (Índice de Mês)]" tableColumnId="15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AC6FE31D-26CA-4768-BB95-74909767D5DA}" sourceName="[Tabela1].[Subscription Type]">
  <pivotTables>
    <pivotTable tabId="3" name="tbl_annual_total"/>
    <pivotTable tabId="3" name="tbl_easeseasonpass_total"/>
    <pivotTable tabId="3" name="Tabela dinâmica3"/>
  </pivotTables>
  <data>
    <olap pivotCacheId="1627280712">
      <levels count="2">
        <level uniqueName="[Tabela1].[Subscription Type].[(All)]" sourceCaption="(All)" count="0"/>
        <level uniqueName="[Tabela1].[Subscription Type].[Subscription Type]" sourceCaption="Subscription Type" count="3">
          <ranges>
            <range startItem="0">
              <i n="[Tabela1].[Subscription Type].&amp;[Annual]" c="Annual"/>
              <i n="[Tabela1].[Subscription Type].&amp;[Monthly]" c="Monthly"/>
              <i n="[Tabela1].[Subscription Type].&amp;[Quarterly]" c="Quarterly"/>
            </range>
          </ranges>
        </level>
      </levels>
      <selections count="1">
        <selection n="[Tabela1].[Subscription Type].&amp;[Quarterly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882457DC-EDDC-4464-A6B3-10229F4030A1}" cache="SegmentaçãodeDados_Subscription_Type" caption="Subscription Type" level="1" style="SlicerStyleLight6 2" rowHeight="247650"/>
</slicer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88">
  <autoFilter ref="A1:M296" xr:uid="{34E0E886-4200-4B36-97B3-63DB74FF40A0}"/>
  <tableColumns count="13">
    <tableColumn id="1" xr3:uid="{C4A90516-688A-46BF-9167-EA16C2A8A652}" name="Subscriber ID" dataDxfId="87"/>
    <tableColumn id="2" xr3:uid="{53DD39D0-2220-4121-9E9D-4EAA7E151C0F}" name="Name" dataDxfId="86"/>
    <tableColumn id="3" xr3:uid="{4F5FF271-4C57-4BE0-8F2C-F82C8551625C}" name="Plan" dataDxfId="85"/>
    <tableColumn id="4" xr3:uid="{8C17EB93-79B9-4E55-B8F7-BEB82F8253E9}" name="Start Date" dataDxfId="84"/>
    <tableColumn id="5" xr3:uid="{48CEDF9B-1689-482A-A828-5CCE7713264A}" name="Auto Renewal" dataDxfId="83"/>
    <tableColumn id="6" xr3:uid="{78B82374-9AA7-4E38-AE4F-78CDE6C83720}" name="Subscription Price" dataDxfId="82" dataCellStyle="Moeda"/>
    <tableColumn id="7" xr3:uid="{F2433F68-AF33-49D0-B1FB-19A396074EDE}" name="Subscription Type" dataDxfId="81"/>
    <tableColumn id="8" xr3:uid="{FD4D9C95-F6E5-4933-9068-A71FF7DF9343}" name="EA Play Season Pass" dataDxfId="71"/>
    <tableColumn id="13" xr3:uid="{978DD0D2-834E-4CE4-A39B-30976086932F}" name="EA Play Season Pass_x000a_Price" dataDxfId="69" dataCellStyle="Moeda"/>
    <tableColumn id="9" xr3:uid="{6E29F111-C395-4580-9DAD-3407D9E8B1A4}" name="Minecraft Season Pass" dataDxfId="70"/>
    <tableColumn id="10" xr3:uid="{EF544EAA-7F25-4FD5-A10E-8E62804DB9E3}" name="Minecraft Season Pass Price" dataDxfId="80" dataCellStyle="Moeda"/>
    <tableColumn id="11" xr3:uid="{7F6EB64A-1F07-4E48-9F0F-AC7D9DCD26F8}" name="Coupon Value" dataDxfId="79" dataCellStyle="Moeda"/>
    <tableColumn id="12" xr3:uid="{2B04ABC8-DE6F-426E-ADC0-D8AFC68CA58E}" name="Total Value" dataDxfId="78" dataCellStyle="Moeda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60EDC7-1C1E-4B9C-9F11-886FA10F949E}" name="Tabela_DadosExternos_1" displayName="Tabela_DadosExternos_1" ref="A3:O63" tableType="queryTable" totalsRowShown="0">
  <autoFilter ref="A3:O63" xr:uid="{4260EDC7-1C1E-4B9C-9F11-886FA10F949E}"/>
  <tableColumns count="15">
    <tableColumn id="1" xr3:uid="{858A0E8D-BBBC-460F-82E3-778FEF2BCB9F}" uniqueName="1" name="Tabela1[Subscriber ID]" queryTableFieldId="1"/>
    <tableColumn id="2" xr3:uid="{8CC3E48B-8AF4-4D42-BA47-F8CBBAE04675}" uniqueName="2" name="Tabela1[Name]" queryTableFieldId="2"/>
    <tableColumn id="3" xr3:uid="{2666C70F-0D68-4359-A477-513FF92E4CED}" uniqueName="3" name="Tabela1[Plan]" queryTableFieldId="3"/>
    <tableColumn id="4" xr3:uid="{E05F550A-E70A-438C-A935-FE3CD1D228C6}" uniqueName="4" name="Tabela1[Start Date]" queryTableFieldId="4" dataDxfId="72"/>
    <tableColumn id="5" xr3:uid="{C3506D47-7864-45C0-85A2-6F2D6978A9D9}" uniqueName="5" name="Tabela1[Auto Renewal]" queryTableFieldId="5"/>
    <tableColumn id="6" xr3:uid="{4043EF08-37FD-40FD-91A8-644ADB1A9F13}" uniqueName="6" name="Tabela1[Subscription Price]" queryTableFieldId="6"/>
    <tableColumn id="7" xr3:uid="{ACD11FB2-FA41-477B-816E-C09280442E2D}" uniqueName="7" name="Tabela1[Subscription Type]" queryTableFieldId="7"/>
    <tableColumn id="8" xr3:uid="{1B95E509-C562-4F41-8FD5-4DC6E784DF37}" uniqueName="8" name="Tabela1[EA Play Season Pass]" queryTableFieldId="8"/>
    <tableColumn id="9" xr3:uid="{194CDD4A-982F-4653-B69A-EEDEC4565130}" uniqueName="9" name="Tabela1[EA Play Season Pass Price]" queryTableFieldId="9" dataDxfId="67"/>
    <tableColumn id="10" xr3:uid="{011609E0-F70B-4D22-81E0-1270FB3CE5B4}" uniqueName="10" name="Tabela1[Minecraft Season Pass]" queryTableFieldId="10"/>
    <tableColumn id="11" xr3:uid="{0CCDC861-71EA-46F7-AC91-42463F3AB497}" uniqueName="11" name="Tabela1[Minecraft Season Pass Price]" queryTableFieldId="11"/>
    <tableColumn id="12" xr3:uid="{2B22B6B0-775B-4B47-8D0A-1D24628F631F}" uniqueName="12" name="Tabela1[Coupon Value]" queryTableFieldId="12"/>
    <tableColumn id="13" xr3:uid="{6D2883EE-D07E-4BE3-A8C9-8C782B2E76C9}" uniqueName="13" name="Tabela1[Total Value]" queryTableFieldId="13"/>
    <tableColumn id="14" xr3:uid="{21967937-74A1-4F13-A267-E2CA4B2C5A05}" uniqueName="14" name="Tabela1[Start Date (Mês)]" queryTableFieldId="14"/>
    <tableColumn id="15" xr3:uid="{5764B697-252F-498A-BD6F-371F40BAC3AE}" uniqueName="15" name="Tabela1[Start Date (Índice de Mês)]" queryTableField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3" zoomScaleNormal="100" workbookViewId="0">
      <selection activeCell="K28" sqref="K28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I2" sqref="I2:I296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311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8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8"/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8"/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8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8"/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8"/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8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8"/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8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8"/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8"/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8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8"/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8"/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8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8"/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8"/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8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8"/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8"/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8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8"/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8"/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8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8"/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8"/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8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8"/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8"/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8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8"/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8"/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8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8"/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8"/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8"/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8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8"/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8"/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8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8"/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8"/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8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8"/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8"/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8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8"/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8"/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8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8"/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8"/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8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8"/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8"/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8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8"/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8"/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8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8"/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8"/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8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8"/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8"/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8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8"/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8"/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8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8"/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8"/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8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8"/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8"/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8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8"/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8"/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8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8"/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8"/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8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8"/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8"/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8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8"/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8"/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8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8"/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8"/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8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8"/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8"/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8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8"/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8"/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8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8"/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8"/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8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8"/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8"/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8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8"/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8"/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8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8"/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8"/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8"/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8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8"/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8"/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8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8"/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8"/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8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8"/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8"/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8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8"/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8"/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8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8"/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8"/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8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8"/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8"/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8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8"/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8"/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8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8"/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8"/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8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8"/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8"/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8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8"/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8"/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8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8"/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8"/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8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8"/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8"/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8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8"/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8"/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8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8"/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8"/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8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8"/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8"/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8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8"/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8"/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8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8"/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8"/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8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8"/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8"/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8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8"/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8"/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8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8"/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8"/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8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8"/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8"/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8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8"/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8"/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8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8"/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8"/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8"/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8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8"/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8"/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8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8"/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8"/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8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8"/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8"/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8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8"/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8"/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8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8"/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8"/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8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8"/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8"/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8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8"/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8"/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8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8"/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8"/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8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8"/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8"/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8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8"/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8"/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8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8"/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8"/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8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8"/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8"/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8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8"/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8"/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8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8"/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8"/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8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8"/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8"/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8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8"/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8"/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8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8"/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8"/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8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8"/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8"/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8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8"/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8"/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8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8"/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8"/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8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8"/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8"/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8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8"/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8"/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8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8"/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8"/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8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8"/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8"/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8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8"/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8"/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8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8"/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8"/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8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8"/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8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8"/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8"/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8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8"/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8"/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8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8"/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8"/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8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8"/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8"/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8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8"/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8"/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8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8"/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8"/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8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8"/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8"/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8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8"/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8"/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8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8"/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8"/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8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8"/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8"/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8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8"/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8"/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8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8"/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8"/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8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8"/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8"/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EB794-6D05-4B8C-AB02-7EF321C1FBD8}">
  <sheetPr>
    <tabColor theme="3" tint="0.749992370372631"/>
  </sheetPr>
  <dimension ref="A1:O63"/>
  <sheetViews>
    <sheetView topLeftCell="F1" workbookViewId="0">
      <selection activeCell="I1" sqref="I1:I1048576"/>
    </sheetView>
  </sheetViews>
  <sheetFormatPr defaultRowHeight="14.4" x14ac:dyDescent="0.3"/>
  <cols>
    <col min="1" max="1" width="23.44140625" bestFit="1" customWidth="1"/>
    <col min="2" max="2" width="17.44140625" bestFit="1" customWidth="1"/>
    <col min="3" max="3" width="15.109375" bestFit="1" customWidth="1"/>
    <col min="4" max="4" width="20.21875" bestFit="1" customWidth="1"/>
    <col min="5" max="5" width="23.5546875" bestFit="1" customWidth="1"/>
    <col min="6" max="6" width="27.77734375" bestFit="1" customWidth="1"/>
    <col min="7" max="7" width="27.44140625" bestFit="1" customWidth="1"/>
    <col min="8" max="8" width="29.33203125" bestFit="1" customWidth="1"/>
    <col min="9" max="9" width="34.33203125" style="14" bestFit="1" customWidth="1"/>
    <col min="10" max="10" width="31.5546875" bestFit="1" customWidth="1"/>
    <col min="11" max="11" width="36.5546875" bestFit="1" customWidth="1"/>
    <col min="12" max="12" width="23.88671875" bestFit="1" customWidth="1"/>
    <col min="13" max="13" width="21.109375" bestFit="1" customWidth="1"/>
    <col min="14" max="14" width="25.77734375" bestFit="1" customWidth="1"/>
    <col min="15" max="15" width="34.5546875" bestFit="1" customWidth="1"/>
  </cols>
  <sheetData>
    <row r="1" spans="1:15" x14ac:dyDescent="0.3">
      <c r="A1" s="17" t="s">
        <v>344</v>
      </c>
    </row>
    <row r="3" spans="1:15" x14ac:dyDescent="0.3">
      <c r="A3" t="s">
        <v>320</v>
      </c>
      <c r="B3" t="s">
        <v>321</v>
      </c>
      <c r="C3" t="s">
        <v>322</v>
      </c>
      <c r="D3" t="s">
        <v>323</v>
      </c>
      <c r="E3" t="s">
        <v>324</v>
      </c>
      <c r="F3" t="s">
        <v>325</v>
      </c>
      <c r="G3" t="s">
        <v>326</v>
      </c>
      <c r="H3" t="s">
        <v>327</v>
      </c>
      <c r="I3" s="14" t="s">
        <v>328</v>
      </c>
      <c r="J3" t="s">
        <v>329</v>
      </c>
      <c r="K3" t="s">
        <v>330</v>
      </c>
      <c r="L3" t="s">
        <v>331</v>
      </c>
      <c r="M3" t="s">
        <v>332</v>
      </c>
      <c r="N3" t="s">
        <v>333</v>
      </c>
      <c r="O3" t="s">
        <v>334</v>
      </c>
    </row>
    <row r="4" spans="1:15" x14ac:dyDescent="0.3">
      <c r="A4">
        <v>3524</v>
      </c>
      <c r="B4" t="s">
        <v>307</v>
      </c>
      <c r="C4" t="s">
        <v>26</v>
      </c>
      <c r="D4" s="16">
        <v>45641</v>
      </c>
      <c r="E4" t="s">
        <v>19</v>
      </c>
      <c r="F4">
        <v>10</v>
      </c>
      <c r="G4" t="s">
        <v>24</v>
      </c>
      <c r="H4" t="s">
        <v>23</v>
      </c>
      <c r="I4" s="14">
        <v>0</v>
      </c>
      <c r="J4" t="s">
        <v>19</v>
      </c>
      <c r="K4">
        <v>20</v>
      </c>
      <c r="L4">
        <v>15</v>
      </c>
      <c r="M4">
        <v>15</v>
      </c>
      <c r="N4" t="s">
        <v>335</v>
      </c>
      <c r="O4">
        <v>12</v>
      </c>
    </row>
    <row r="5" spans="1:15" x14ac:dyDescent="0.3">
      <c r="A5">
        <v>3520</v>
      </c>
      <c r="B5" t="s">
        <v>303</v>
      </c>
      <c r="C5" t="s">
        <v>18</v>
      </c>
      <c r="D5" s="16">
        <v>45637</v>
      </c>
      <c r="E5" t="s">
        <v>19</v>
      </c>
      <c r="F5">
        <v>15</v>
      </c>
      <c r="G5" t="s">
        <v>24</v>
      </c>
      <c r="H5" t="s">
        <v>19</v>
      </c>
      <c r="I5" s="14">
        <v>30</v>
      </c>
      <c r="J5" t="s">
        <v>19</v>
      </c>
      <c r="K5">
        <v>20</v>
      </c>
      <c r="L5">
        <v>5</v>
      </c>
      <c r="M5">
        <v>60</v>
      </c>
      <c r="N5" t="s">
        <v>335</v>
      </c>
      <c r="O5">
        <v>12</v>
      </c>
    </row>
    <row r="6" spans="1:15" x14ac:dyDescent="0.3">
      <c r="A6">
        <v>3516</v>
      </c>
      <c r="B6" t="s">
        <v>160</v>
      </c>
      <c r="C6" t="s">
        <v>22</v>
      </c>
      <c r="D6" s="16">
        <v>45633</v>
      </c>
      <c r="E6" t="s">
        <v>19</v>
      </c>
      <c r="F6">
        <v>5</v>
      </c>
      <c r="G6" t="s">
        <v>24</v>
      </c>
      <c r="H6" t="s">
        <v>23</v>
      </c>
      <c r="I6" s="14">
        <v>0</v>
      </c>
      <c r="J6" t="s">
        <v>23</v>
      </c>
      <c r="K6">
        <v>0</v>
      </c>
      <c r="L6">
        <v>0</v>
      </c>
      <c r="M6">
        <v>5</v>
      </c>
      <c r="N6" t="s">
        <v>335</v>
      </c>
      <c r="O6">
        <v>12</v>
      </c>
    </row>
    <row r="7" spans="1:15" x14ac:dyDescent="0.3">
      <c r="A7">
        <v>3512</v>
      </c>
      <c r="B7" t="s">
        <v>298</v>
      </c>
      <c r="C7" t="s">
        <v>26</v>
      </c>
      <c r="D7" s="16">
        <v>45629</v>
      </c>
      <c r="E7" t="s">
        <v>19</v>
      </c>
      <c r="F7">
        <v>10</v>
      </c>
      <c r="G7" t="s">
        <v>24</v>
      </c>
      <c r="H7" t="s">
        <v>23</v>
      </c>
      <c r="I7" s="14">
        <v>0</v>
      </c>
      <c r="J7" t="s">
        <v>19</v>
      </c>
      <c r="K7">
        <v>20</v>
      </c>
      <c r="L7">
        <v>15</v>
      </c>
      <c r="M7">
        <v>15</v>
      </c>
      <c r="N7" t="s">
        <v>335</v>
      </c>
      <c r="O7">
        <v>12</v>
      </c>
    </row>
    <row r="8" spans="1:15" x14ac:dyDescent="0.3">
      <c r="A8">
        <v>3508</v>
      </c>
      <c r="B8" t="s">
        <v>294</v>
      </c>
      <c r="C8" t="s">
        <v>18</v>
      </c>
      <c r="D8" s="16">
        <v>45625</v>
      </c>
      <c r="E8" t="s">
        <v>19</v>
      </c>
      <c r="F8">
        <v>15</v>
      </c>
      <c r="G8" t="s">
        <v>24</v>
      </c>
      <c r="H8" t="s">
        <v>19</v>
      </c>
      <c r="I8" s="14">
        <v>30</v>
      </c>
      <c r="J8" t="s">
        <v>19</v>
      </c>
      <c r="K8">
        <v>20</v>
      </c>
      <c r="L8">
        <v>3</v>
      </c>
      <c r="M8">
        <v>62</v>
      </c>
      <c r="N8" t="s">
        <v>336</v>
      </c>
      <c r="O8">
        <v>11</v>
      </c>
    </row>
    <row r="9" spans="1:15" x14ac:dyDescent="0.3">
      <c r="A9">
        <v>3504</v>
      </c>
      <c r="B9" t="s">
        <v>290</v>
      </c>
      <c r="C9" t="s">
        <v>22</v>
      </c>
      <c r="D9" s="16">
        <v>45621</v>
      </c>
      <c r="E9" t="s">
        <v>19</v>
      </c>
      <c r="F9">
        <v>5</v>
      </c>
      <c r="G9" t="s">
        <v>24</v>
      </c>
      <c r="H9" t="s">
        <v>23</v>
      </c>
      <c r="I9" s="14">
        <v>0</v>
      </c>
      <c r="J9" t="s">
        <v>23</v>
      </c>
      <c r="K9">
        <v>0</v>
      </c>
      <c r="L9">
        <v>0</v>
      </c>
      <c r="M9">
        <v>5</v>
      </c>
      <c r="N9" t="s">
        <v>336</v>
      </c>
      <c r="O9">
        <v>11</v>
      </c>
    </row>
    <row r="10" spans="1:15" x14ac:dyDescent="0.3">
      <c r="A10">
        <v>3500</v>
      </c>
      <c r="B10" t="s">
        <v>287</v>
      </c>
      <c r="C10" t="s">
        <v>26</v>
      </c>
      <c r="D10" s="16">
        <v>45617</v>
      </c>
      <c r="E10" t="s">
        <v>19</v>
      </c>
      <c r="F10">
        <v>10</v>
      </c>
      <c r="G10" t="s">
        <v>24</v>
      </c>
      <c r="H10" t="s">
        <v>23</v>
      </c>
      <c r="I10" s="14">
        <v>0</v>
      </c>
      <c r="J10" t="s">
        <v>19</v>
      </c>
      <c r="K10">
        <v>20</v>
      </c>
      <c r="L10">
        <v>15</v>
      </c>
      <c r="M10">
        <v>15</v>
      </c>
      <c r="N10" t="s">
        <v>336</v>
      </c>
      <c r="O10">
        <v>11</v>
      </c>
    </row>
    <row r="11" spans="1:15" x14ac:dyDescent="0.3">
      <c r="A11">
        <v>3496</v>
      </c>
      <c r="B11" t="s">
        <v>283</v>
      </c>
      <c r="C11" t="s">
        <v>18</v>
      </c>
      <c r="D11" s="16">
        <v>45613</v>
      </c>
      <c r="E11" t="s">
        <v>19</v>
      </c>
      <c r="F11">
        <v>15</v>
      </c>
      <c r="G11" t="s">
        <v>24</v>
      </c>
      <c r="H11" t="s">
        <v>19</v>
      </c>
      <c r="I11" s="14">
        <v>30</v>
      </c>
      <c r="J11" t="s">
        <v>19</v>
      </c>
      <c r="K11">
        <v>20</v>
      </c>
      <c r="L11">
        <v>5</v>
      </c>
      <c r="M11">
        <v>60</v>
      </c>
      <c r="N11" t="s">
        <v>336</v>
      </c>
      <c r="O11">
        <v>11</v>
      </c>
    </row>
    <row r="12" spans="1:15" x14ac:dyDescent="0.3">
      <c r="A12">
        <v>3492</v>
      </c>
      <c r="B12" t="s">
        <v>279</v>
      </c>
      <c r="C12" t="s">
        <v>22</v>
      </c>
      <c r="D12" s="16">
        <v>45609</v>
      </c>
      <c r="E12" t="s">
        <v>19</v>
      </c>
      <c r="F12">
        <v>5</v>
      </c>
      <c r="G12" t="s">
        <v>24</v>
      </c>
      <c r="H12" t="s">
        <v>23</v>
      </c>
      <c r="I12" s="14">
        <v>0</v>
      </c>
      <c r="J12" t="s">
        <v>23</v>
      </c>
      <c r="K12">
        <v>0</v>
      </c>
      <c r="L12">
        <v>0</v>
      </c>
      <c r="M12">
        <v>5</v>
      </c>
      <c r="N12" t="s">
        <v>336</v>
      </c>
      <c r="O12">
        <v>11</v>
      </c>
    </row>
    <row r="13" spans="1:15" x14ac:dyDescent="0.3">
      <c r="A13">
        <v>3488</v>
      </c>
      <c r="B13" t="s">
        <v>275</v>
      </c>
      <c r="C13" t="s">
        <v>26</v>
      </c>
      <c r="D13" s="16">
        <v>45605</v>
      </c>
      <c r="E13" t="s">
        <v>19</v>
      </c>
      <c r="F13">
        <v>10</v>
      </c>
      <c r="G13" t="s">
        <v>24</v>
      </c>
      <c r="H13" t="s">
        <v>23</v>
      </c>
      <c r="I13" s="14">
        <v>0</v>
      </c>
      <c r="J13" t="s">
        <v>19</v>
      </c>
      <c r="K13">
        <v>20</v>
      </c>
      <c r="L13">
        <v>10</v>
      </c>
      <c r="M13">
        <v>20</v>
      </c>
      <c r="N13" t="s">
        <v>336</v>
      </c>
      <c r="O13">
        <v>11</v>
      </c>
    </row>
    <row r="14" spans="1:15" x14ac:dyDescent="0.3">
      <c r="A14">
        <v>3482</v>
      </c>
      <c r="B14" t="s">
        <v>269</v>
      </c>
      <c r="C14" t="s">
        <v>18</v>
      </c>
      <c r="D14" s="16">
        <v>45599</v>
      </c>
      <c r="E14" t="s">
        <v>19</v>
      </c>
      <c r="F14">
        <v>15</v>
      </c>
      <c r="G14" t="s">
        <v>24</v>
      </c>
      <c r="H14" t="s">
        <v>19</v>
      </c>
      <c r="I14" s="14">
        <v>30</v>
      </c>
      <c r="J14" t="s">
        <v>19</v>
      </c>
      <c r="K14">
        <v>20</v>
      </c>
      <c r="L14">
        <v>3</v>
      </c>
      <c r="M14">
        <v>62</v>
      </c>
      <c r="N14" t="s">
        <v>336</v>
      </c>
      <c r="O14">
        <v>11</v>
      </c>
    </row>
    <row r="15" spans="1:15" x14ac:dyDescent="0.3">
      <c r="A15">
        <v>3478</v>
      </c>
      <c r="B15" t="s">
        <v>265</v>
      </c>
      <c r="C15" t="s">
        <v>22</v>
      </c>
      <c r="D15" s="16">
        <v>45595</v>
      </c>
      <c r="E15" t="s">
        <v>19</v>
      </c>
      <c r="F15">
        <v>5</v>
      </c>
      <c r="G15" t="s">
        <v>24</v>
      </c>
      <c r="H15" t="s">
        <v>23</v>
      </c>
      <c r="I15" s="14">
        <v>0</v>
      </c>
      <c r="J15" t="s">
        <v>23</v>
      </c>
      <c r="K15">
        <v>0</v>
      </c>
      <c r="L15">
        <v>0</v>
      </c>
      <c r="M15">
        <v>5</v>
      </c>
      <c r="N15" t="s">
        <v>337</v>
      </c>
      <c r="O15">
        <v>10</v>
      </c>
    </row>
    <row r="16" spans="1:15" x14ac:dyDescent="0.3">
      <c r="A16">
        <v>3474</v>
      </c>
      <c r="B16" t="s">
        <v>261</v>
      </c>
      <c r="C16" t="s">
        <v>26</v>
      </c>
      <c r="D16" s="16">
        <v>45591</v>
      </c>
      <c r="E16" t="s">
        <v>19</v>
      </c>
      <c r="F16">
        <v>10</v>
      </c>
      <c r="G16" t="s">
        <v>24</v>
      </c>
      <c r="H16" t="s">
        <v>23</v>
      </c>
      <c r="I16" s="14">
        <v>0</v>
      </c>
      <c r="J16" t="s">
        <v>19</v>
      </c>
      <c r="K16">
        <v>20</v>
      </c>
      <c r="L16">
        <v>15</v>
      </c>
      <c r="M16">
        <v>15</v>
      </c>
      <c r="N16" t="s">
        <v>337</v>
      </c>
      <c r="O16">
        <v>10</v>
      </c>
    </row>
    <row r="17" spans="1:15" x14ac:dyDescent="0.3">
      <c r="A17">
        <v>3470</v>
      </c>
      <c r="B17" t="s">
        <v>258</v>
      </c>
      <c r="C17" t="s">
        <v>18</v>
      </c>
      <c r="D17" s="16">
        <v>45587</v>
      </c>
      <c r="E17" t="s">
        <v>19</v>
      </c>
      <c r="F17">
        <v>15</v>
      </c>
      <c r="G17" t="s">
        <v>24</v>
      </c>
      <c r="H17" t="s">
        <v>19</v>
      </c>
      <c r="I17" s="14">
        <v>30</v>
      </c>
      <c r="J17" t="s">
        <v>19</v>
      </c>
      <c r="K17">
        <v>20</v>
      </c>
      <c r="L17">
        <v>5</v>
      </c>
      <c r="M17">
        <v>60</v>
      </c>
      <c r="N17" t="s">
        <v>337</v>
      </c>
      <c r="O17">
        <v>10</v>
      </c>
    </row>
    <row r="18" spans="1:15" x14ac:dyDescent="0.3">
      <c r="A18">
        <v>3466</v>
      </c>
      <c r="B18" t="s">
        <v>254</v>
      </c>
      <c r="C18" t="s">
        <v>22</v>
      </c>
      <c r="D18" s="16">
        <v>45583</v>
      </c>
      <c r="E18" t="s">
        <v>19</v>
      </c>
      <c r="F18">
        <v>5</v>
      </c>
      <c r="G18" t="s">
        <v>24</v>
      </c>
      <c r="H18" t="s">
        <v>23</v>
      </c>
      <c r="I18" s="14">
        <v>0</v>
      </c>
      <c r="J18" t="s">
        <v>23</v>
      </c>
      <c r="K18">
        <v>0</v>
      </c>
      <c r="L18">
        <v>0</v>
      </c>
      <c r="M18">
        <v>5</v>
      </c>
      <c r="N18" t="s">
        <v>337</v>
      </c>
      <c r="O18">
        <v>10</v>
      </c>
    </row>
    <row r="19" spans="1:15" x14ac:dyDescent="0.3">
      <c r="A19">
        <v>3462</v>
      </c>
      <c r="B19" t="s">
        <v>250</v>
      </c>
      <c r="C19" t="s">
        <v>26</v>
      </c>
      <c r="D19" s="16">
        <v>45579</v>
      </c>
      <c r="E19" t="s">
        <v>19</v>
      </c>
      <c r="F19">
        <v>10</v>
      </c>
      <c r="G19" t="s">
        <v>24</v>
      </c>
      <c r="H19" t="s">
        <v>23</v>
      </c>
      <c r="I19" s="14">
        <v>0</v>
      </c>
      <c r="J19" t="s">
        <v>19</v>
      </c>
      <c r="K19">
        <v>20</v>
      </c>
      <c r="L19">
        <v>15</v>
      </c>
      <c r="M19">
        <v>15</v>
      </c>
      <c r="N19" t="s">
        <v>337</v>
      </c>
      <c r="O19">
        <v>10</v>
      </c>
    </row>
    <row r="20" spans="1:15" x14ac:dyDescent="0.3">
      <c r="A20">
        <v>3458</v>
      </c>
      <c r="B20" t="s">
        <v>247</v>
      </c>
      <c r="C20" t="s">
        <v>18</v>
      </c>
      <c r="D20" s="16">
        <v>45575</v>
      </c>
      <c r="E20" t="s">
        <v>19</v>
      </c>
      <c r="F20">
        <v>15</v>
      </c>
      <c r="G20" t="s">
        <v>24</v>
      </c>
      <c r="H20" t="s">
        <v>19</v>
      </c>
      <c r="I20" s="14">
        <v>30</v>
      </c>
      <c r="J20" t="s">
        <v>19</v>
      </c>
      <c r="K20">
        <v>20</v>
      </c>
      <c r="L20">
        <v>3</v>
      </c>
      <c r="M20">
        <v>62</v>
      </c>
      <c r="N20" t="s">
        <v>337</v>
      </c>
      <c r="O20">
        <v>10</v>
      </c>
    </row>
    <row r="21" spans="1:15" x14ac:dyDescent="0.3">
      <c r="A21">
        <v>3454</v>
      </c>
      <c r="B21" t="s">
        <v>243</v>
      </c>
      <c r="C21" t="s">
        <v>22</v>
      </c>
      <c r="D21" s="16">
        <v>45571</v>
      </c>
      <c r="E21" t="s">
        <v>19</v>
      </c>
      <c r="F21">
        <v>5</v>
      </c>
      <c r="G21" t="s">
        <v>24</v>
      </c>
      <c r="H21" t="s">
        <v>23</v>
      </c>
      <c r="I21" s="14">
        <v>0</v>
      </c>
      <c r="J21" t="s">
        <v>23</v>
      </c>
      <c r="K21">
        <v>0</v>
      </c>
      <c r="L21">
        <v>0</v>
      </c>
      <c r="M21">
        <v>5</v>
      </c>
      <c r="N21" t="s">
        <v>337</v>
      </c>
      <c r="O21">
        <v>10</v>
      </c>
    </row>
    <row r="22" spans="1:15" x14ac:dyDescent="0.3">
      <c r="A22">
        <v>3450</v>
      </c>
      <c r="B22" t="s">
        <v>241</v>
      </c>
      <c r="C22" t="s">
        <v>26</v>
      </c>
      <c r="D22" s="16">
        <v>45567</v>
      </c>
      <c r="E22" t="s">
        <v>19</v>
      </c>
      <c r="F22">
        <v>10</v>
      </c>
      <c r="G22" t="s">
        <v>24</v>
      </c>
      <c r="H22" t="s">
        <v>23</v>
      </c>
      <c r="I22" s="14">
        <v>0</v>
      </c>
      <c r="J22" t="s">
        <v>19</v>
      </c>
      <c r="K22">
        <v>20</v>
      </c>
      <c r="L22">
        <v>15</v>
      </c>
      <c r="M22">
        <v>15</v>
      </c>
      <c r="N22" t="s">
        <v>337</v>
      </c>
      <c r="O22">
        <v>10</v>
      </c>
    </row>
    <row r="23" spans="1:15" x14ac:dyDescent="0.3">
      <c r="A23">
        <v>3446</v>
      </c>
      <c r="B23" t="s">
        <v>237</v>
      </c>
      <c r="C23" t="s">
        <v>18</v>
      </c>
      <c r="D23" s="16">
        <v>45563</v>
      </c>
      <c r="E23" t="s">
        <v>19</v>
      </c>
      <c r="F23">
        <v>15</v>
      </c>
      <c r="G23" t="s">
        <v>24</v>
      </c>
      <c r="H23" t="s">
        <v>19</v>
      </c>
      <c r="I23" s="14">
        <v>30</v>
      </c>
      <c r="J23" t="s">
        <v>19</v>
      </c>
      <c r="K23">
        <v>20</v>
      </c>
      <c r="L23">
        <v>5</v>
      </c>
      <c r="M23">
        <v>60</v>
      </c>
      <c r="N23" t="s">
        <v>338</v>
      </c>
      <c r="O23">
        <v>9</v>
      </c>
    </row>
    <row r="24" spans="1:15" x14ac:dyDescent="0.3">
      <c r="A24">
        <v>3442</v>
      </c>
      <c r="B24" t="s">
        <v>234</v>
      </c>
      <c r="C24" t="s">
        <v>22</v>
      </c>
      <c r="D24" s="16">
        <v>45559</v>
      </c>
      <c r="E24" t="s">
        <v>19</v>
      </c>
      <c r="F24">
        <v>5</v>
      </c>
      <c r="G24" t="s">
        <v>24</v>
      </c>
      <c r="H24" t="s">
        <v>23</v>
      </c>
      <c r="I24" s="14">
        <v>0</v>
      </c>
      <c r="J24" t="s">
        <v>23</v>
      </c>
      <c r="K24">
        <v>0</v>
      </c>
      <c r="L24">
        <v>0</v>
      </c>
      <c r="M24">
        <v>5</v>
      </c>
      <c r="N24" t="s">
        <v>338</v>
      </c>
      <c r="O24">
        <v>9</v>
      </c>
    </row>
    <row r="25" spans="1:15" x14ac:dyDescent="0.3">
      <c r="A25">
        <v>3438</v>
      </c>
      <c r="B25" t="s">
        <v>230</v>
      </c>
      <c r="C25" t="s">
        <v>26</v>
      </c>
      <c r="D25" s="16">
        <v>45555</v>
      </c>
      <c r="E25" t="s">
        <v>19</v>
      </c>
      <c r="F25">
        <v>10</v>
      </c>
      <c r="G25" t="s">
        <v>24</v>
      </c>
      <c r="H25" t="s">
        <v>23</v>
      </c>
      <c r="I25" s="14">
        <v>0</v>
      </c>
      <c r="J25" t="s">
        <v>19</v>
      </c>
      <c r="K25">
        <v>20</v>
      </c>
      <c r="L25">
        <v>10</v>
      </c>
      <c r="M25">
        <v>20</v>
      </c>
      <c r="N25" t="s">
        <v>338</v>
      </c>
      <c r="O25">
        <v>9</v>
      </c>
    </row>
    <row r="26" spans="1:15" x14ac:dyDescent="0.3">
      <c r="A26">
        <v>3432</v>
      </c>
      <c r="B26" t="s">
        <v>224</v>
      </c>
      <c r="C26" t="s">
        <v>26</v>
      </c>
      <c r="D26" s="16">
        <v>45549</v>
      </c>
      <c r="E26" t="s">
        <v>19</v>
      </c>
      <c r="F26">
        <v>10</v>
      </c>
      <c r="G26" t="s">
        <v>24</v>
      </c>
      <c r="H26" t="s">
        <v>23</v>
      </c>
      <c r="I26" s="14">
        <v>0</v>
      </c>
      <c r="J26" t="s">
        <v>19</v>
      </c>
      <c r="K26">
        <v>20</v>
      </c>
      <c r="L26">
        <v>15</v>
      </c>
      <c r="M26">
        <v>15</v>
      </c>
      <c r="N26" t="s">
        <v>338</v>
      </c>
      <c r="O26">
        <v>9</v>
      </c>
    </row>
    <row r="27" spans="1:15" x14ac:dyDescent="0.3">
      <c r="A27">
        <v>3428</v>
      </c>
      <c r="B27" t="s">
        <v>220</v>
      </c>
      <c r="C27" t="s">
        <v>18</v>
      </c>
      <c r="D27" s="16">
        <v>45545</v>
      </c>
      <c r="E27" t="s">
        <v>19</v>
      </c>
      <c r="F27">
        <v>15</v>
      </c>
      <c r="G27" t="s">
        <v>24</v>
      </c>
      <c r="H27" t="s">
        <v>19</v>
      </c>
      <c r="I27" s="14">
        <v>30</v>
      </c>
      <c r="J27" t="s">
        <v>19</v>
      </c>
      <c r="K27">
        <v>20</v>
      </c>
      <c r="L27">
        <v>3</v>
      </c>
      <c r="M27">
        <v>62</v>
      </c>
      <c r="N27" t="s">
        <v>338</v>
      </c>
      <c r="O27">
        <v>9</v>
      </c>
    </row>
    <row r="28" spans="1:15" x14ac:dyDescent="0.3">
      <c r="A28">
        <v>3424</v>
      </c>
      <c r="B28" t="s">
        <v>43</v>
      </c>
      <c r="C28" t="s">
        <v>22</v>
      </c>
      <c r="D28" s="16">
        <v>45541</v>
      </c>
      <c r="E28" t="s">
        <v>19</v>
      </c>
      <c r="F28">
        <v>5</v>
      </c>
      <c r="G28" t="s">
        <v>24</v>
      </c>
      <c r="H28" t="s">
        <v>23</v>
      </c>
      <c r="I28" s="14">
        <v>0</v>
      </c>
      <c r="J28" t="s">
        <v>23</v>
      </c>
      <c r="K28">
        <v>0</v>
      </c>
      <c r="L28">
        <v>0</v>
      </c>
      <c r="M28">
        <v>5</v>
      </c>
      <c r="N28" t="s">
        <v>338</v>
      </c>
      <c r="O28">
        <v>9</v>
      </c>
    </row>
    <row r="29" spans="1:15" x14ac:dyDescent="0.3">
      <c r="A29">
        <v>3420</v>
      </c>
      <c r="B29" t="s">
        <v>215</v>
      </c>
      <c r="C29" t="s">
        <v>26</v>
      </c>
      <c r="D29" s="16">
        <v>45537</v>
      </c>
      <c r="E29" t="s">
        <v>19</v>
      </c>
      <c r="F29">
        <v>10</v>
      </c>
      <c r="G29" t="s">
        <v>24</v>
      </c>
      <c r="H29" t="s">
        <v>23</v>
      </c>
      <c r="I29" s="14">
        <v>0</v>
      </c>
      <c r="J29" t="s">
        <v>19</v>
      </c>
      <c r="K29">
        <v>20</v>
      </c>
      <c r="L29">
        <v>15</v>
      </c>
      <c r="M29">
        <v>15</v>
      </c>
      <c r="N29" t="s">
        <v>338</v>
      </c>
      <c r="O29">
        <v>9</v>
      </c>
    </row>
    <row r="30" spans="1:15" x14ac:dyDescent="0.3">
      <c r="A30">
        <v>3416</v>
      </c>
      <c r="B30" t="s">
        <v>211</v>
      </c>
      <c r="C30" t="s">
        <v>18</v>
      </c>
      <c r="D30" s="16">
        <v>45533</v>
      </c>
      <c r="E30" t="s">
        <v>19</v>
      </c>
      <c r="F30">
        <v>15</v>
      </c>
      <c r="G30" t="s">
        <v>24</v>
      </c>
      <c r="H30" t="s">
        <v>19</v>
      </c>
      <c r="I30" s="14">
        <v>30</v>
      </c>
      <c r="J30" t="s">
        <v>19</v>
      </c>
      <c r="K30">
        <v>20</v>
      </c>
      <c r="L30">
        <v>5</v>
      </c>
      <c r="M30">
        <v>60</v>
      </c>
      <c r="N30" t="s">
        <v>339</v>
      </c>
      <c r="O30">
        <v>8</v>
      </c>
    </row>
    <row r="31" spans="1:15" x14ac:dyDescent="0.3">
      <c r="A31">
        <v>3412</v>
      </c>
      <c r="B31" t="s">
        <v>207</v>
      </c>
      <c r="C31" t="s">
        <v>22</v>
      </c>
      <c r="D31" s="16">
        <v>45529</v>
      </c>
      <c r="E31" t="s">
        <v>19</v>
      </c>
      <c r="F31">
        <v>5</v>
      </c>
      <c r="G31" t="s">
        <v>24</v>
      </c>
      <c r="H31" t="s">
        <v>23</v>
      </c>
      <c r="I31" s="14">
        <v>0</v>
      </c>
      <c r="J31" t="s">
        <v>23</v>
      </c>
      <c r="K31">
        <v>0</v>
      </c>
      <c r="L31">
        <v>0</v>
      </c>
      <c r="M31">
        <v>5</v>
      </c>
      <c r="N31" t="s">
        <v>339</v>
      </c>
      <c r="O31">
        <v>8</v>
      </c>
    </row>
    <row r="32" spans="1:15" x14ac:dyDescent="0.3">
      <c r="A32">
        <v>3408</v>
      </c>
      <c r="B32" t="s">
        <v>203</v>
      </c>
      <c r="C32" t="s">
        <v>26</v>
      </c>
      <c r="D32" s="16">
        <v>45525</v>
      </c>
      <c r="E32" t="s">
        <v>19</v>
      </c>
      <c r="F32">
        <v>10</v>
      </c>
      <c r="G32" t="s">
        <v>24</v>
      </c>
      <c r="H32" t="s">
        <v>23</v>
      </c>
      <c r="I32" s="14">
        <v>0</v>
      </c>
      <c r="J32" t="s">
        <v>19</v>
      </c>
      <c r="K32">
        <v>20</v>
      </c>
      <c r="L32">
        <v>10</v>
      </c>
      <c r="M32">
        <v>20</v>
      </c>
      <c r="N32" t="s">
        <v>339</v>
      </c>
      <c r="O32">
        <v>8</v>
      </c>
    </row>
    <row r="33" spans="1:15" x14ac:dyDescent="0.3">
      <c r="A33">
        <v>3404</v>
      </c>
      <c r="B33" t="s">
        <v>199</v>
      </c>
      <c r="C33" t="s">
        <v>26</v>
      </c>
      <c r="D33" s="16">
        <v>45521</v>
      </c>
      <c r="E33" t="s">
        <v>19</v>
      </c>
      <c r="F33">
        <v>10</v>
      </c>
      <c r="G33" t="s">
        <v>24</v>
      </c>
      <c r="H33" t="s">
        <v>23</v>
      </c>
      <c r="I33" s="14">
        <v>0</v>
      </c>
      <c r="J33" t="s">
        <v>19</v>
      </c>
      <c r="K33">
        <v>20</v>
      </c>
      <c r="L33">
        <v>15</v>
      </c>
      <c r="M33">
        <v>15</v>
      </c>
      <c r="N33" t="s">
        <v>339</v>
      </c>
      <c r="O33">
        <v>8</v>
      </c>
    </row>
    <row r="34" spans="1:15" x14ac:dyDescent="0.3">
      <c r="A34">
        <v>3400</v>
      </c>
      <c r="B34" t="s">
        <v>195</v>
      </c>
      <c r="C34" t="s">
        <v>18</v>
      </c>
      <c r="D34" s="16">
        <v>45517</v>
      </c>
      <c r="E34" t="s">
        <v>19</v>
      </c>
      <c r="F34">
        <v>15</v>
      </c>
      <c r="G34" t="s">
        <v>24</v>
      </c>
      <c r="H34" t="s">
        <v>19</v>
      </c>
      <c r="I34" s="14">
        <v>30</v>
      </c>
      <c r="J34" t="s">
        <v>19</v>
      </c>
      <c r="K34">
        <v>20</v>
      </c>
      <c r="L34">
        <v>5</v>
      </c>
      <c r="M34">
        <v>60</v>
      </c>
      <c r="N34" t="s">
        <v>339</v>
      </c>
      <c r="O34">
        <v>8</v>
      </c>
    </row>
    <row r="35" spans="1:15" x14ac:dyDescent="0.3">
      <c r="A35">
        <v>3396</v>
      </c>
      <c r="B35" t="s">
        <v>192</v>
      </c>
      <c r="C35" t="s">
        <v>22</v>
      </c>
      <c r="D35" s="16">
        <v>45513</v>
      </c>
      <c r="E35" t="s">
        <v>19</v>
      </c>
      <c r="F35">
        <v>5</v>
      </c>
      <c r="G35" t="s">
        <v>24</v>
      </c>
      <c r="H35" t="s">
        <v>23</v>
      </c>
      <c r="I35" s="14">
        <v>0</v>
      </c>
      <c r="J35" t="s">
        <v>23</v>
      </c>
      <c r="K35">
        <v>0</v>
      </c>
      <c r="L35">
        <v>0</v>
      </c>
      <c r="M35">
        <v>5</v>
      </c>
      <c r="N35" t="s">
        <v>339</v>
      </c>
      <c r="O35">
        <v>8</v>
      </c>
    </row>
    <row r="36" spans="1:15" x14ac:dyDescent="0.3">
      <c r="A36">
        <v>3392</v>
      </c>
      <c r="B36" t="s">
        <v>188</v>
      </c>
      <c r="C36" t="s">
        <v>26</v>
      </c>
      <c r="D36" s="16">
        <v>45509</v>
      </c>
      <c r="E36" t="s">
        <v>19</v>
      </c>
      <c r="F36">
        <v>10</v>
      </c>
      <c r="G36" t="s">
        <v>24</v>
      </c>
      <c r="H36" t="s">
        <v>23</v>
      </c>
      <c r="I36" s="14">
        <v>0</v>
      </c>
      <c r="J36" t="s">
        <v>19</v>
      </c>
      <c r="K36">
        <v>20</v>
      </c>
      <c r="L36">
        <v>15</v>
      </c>
      <c r="M36">
        <v>15</v>
      </c>
      <c r="N36" t="s">
        <v>339</v>
      </c>
      <c r="O36">
        <v>8</v>
      </c>
    </row>
    <row r="37" spans="1:15" x14ac:dyDescent="0.3">
      <c r="A37">
        <v>3388</v>
      </c>
      <c r="B37" t="s">
        <v>185</v>
      </c>
      <c r="C37" t="s">
        <v>18</v>
      </c>
      <c r="D37" s="16">
        <v>45505</v>
      </c>
      <c r="E37" t="s">
        <v>19</v>
      </c>
      <c r="F37">
        <v>15</v>
      </c>
      <c r="G37" t="s">
        <v>24</v>
      </c>
      <c r="H37" t="s">
        <v>19</v>
      </c>
      <c r="I37" s="14">
        <v>30</v>
      </c>
      <c r="J37" t="s">
        <v>19</v>
      </c>
      <c r="K37">
        <v>20</v>
      </c>
      <c r="L37">
        <v>3</v>
      </c>
      <c r="M37">
        <v>62</v>
      </c>
      <c r="N37" t="s">
        <v>339</v>
      </c>
      <c r="O37">
        <v>8</v>
      </c>
    </row>
    <row r="38" spans="1:15" x14ac:dyDescent="0.3">
      <c r="A38">
        <v>3384</v>
      </c>
      <c r="B38" t="s">
        <v>181</v>
      </c>
      <c r="C38" t="s">
        <v>22</v>
      </c>
      <c r="D38" s="16">
        <v>45501</v>
      </c>
      <c r="E38" t="s">
        <v>19</v>
      </c>
      <c r="F38">
        <v>5</v>
      </c>
      <c r="G38" t="s">
        <v>24</v>
      </c>
      <c r="H38" t="s">
        <v>23</v>
      </c>
      <c r="I38" s="14">
        <v>0</v>
      </c>
      <c r="J38" t="s">
        <v>23</v>
      </c>
      <c r="K38">
        <v>0</v>
      </c>
      <c r="L38">
        <v>0</v>
      </c>
      <c r="M38">
        <v>5</v>
      </c>
      <c r="N38" t="s">
        <v>340</v>
      </c>
      <c r="O38">
        <v>7</v>
      </c>
    </row>
    <row r="39" spans="1:15" x14ac:dyDescent="0.3">
      <c r="A39">
        <v>3380</v>
      </c>
      <c r="B39" t="s">
        <v>177</v>
      </c>
      <c r="C39" t="s">
        <v>26</v>
      </c>
      <c r="D39" s="16">
        <v>45497</v>
      </c>
      <c r="E39" t="s">
        <v>19</v>
      </c>
      <c r="F39">
        <v>10</v>
      </c>
      <c r="G39" t="s">
        <v>24</v>
      </c>
      <c r="H39" t="s">
        <v>23</v>
      </c>
      <c r="I39" s="14">
        <v>0</v>
      </c>
      <c r="J39" t="s">
        <v>19</v>
      </c>
      <c r="K39">
        <v>20</v>
      </c>
      <c r="L39">
        <v>15</v>
      </c>
      <c r="M39">
        <v>15</v>
      </c>
      <c r="N39" t="s">
        <v>340</v>
      </c>
      <c r="O39">
        <v>7</v>
      </c>
    </row>
    <row r="40" spans="1:15" x14ac:dyDescent="0.3">
      <c r="A40">
        <v>3376</v>
      </c>
      <c r="B40" t="s">
        <v>173</v>
      </c>
      <c r="C40" t="s">
        <v>18</v>
      </c>
      <c r="D40" s="16">
        <v>45493</v>
      </c>
      <c r="E40" t="s">
        <v>19</v>
      </c>
      <c r="F40">
        <v>15</v>
      </c>
      <c r="G40" t="s">
        <v>24</v>
      </c>
      <c r="H40" t="s">
        <v>19</v>
      </c>
      <c r="I40" s="14">
        <v>30</v>
      </c>
      <c r="J40" t="s">
        <v>19</v>
      </c>
      <c r="K40">
        <v>20</v>
      </c>
      <c r="L40">
        <v>5</v>
      </c>
      <c r="M40">
        <v>60</v>
      </c>
      <c r="N40" t="s">
        <v>340</v>
      </c>
      <c r="O40">
        <v>7</v>
      </c>
    </row>
    <row r="41" spans="1:15" x14ac:dyDescent="0.3">
      <c r="A41">
        <v>3372</v>
      </c>
      <c r="B41" t="s">
        <v>169</v>
      </c>
      <c r="C41" t="s">
        <v>22</v>
      </c>
      <c r="D41" s="16">
        <v>45489</v>
      </c>
      <c r="E41" t="s">
        <v>19</v>
      </c>
      <c r="F41">
        <v>5</v>
      </c>
      <c r="G41" t="s">
        <v>24</v>
      </c>
      <c r="H41" t="s">
        <v>23</v>
      </c>
      <c r="I41" s="14">
        <v>0</v>
      </c>
      <c r="J41" t="s">
        <v>23</v>
      </c>
      <c r="K41">
        <v>0</v>
      </c>
      <c r="L41">
        <v>0</v>
      </c>
      <c r="M41">
        <v>5</v>
      </c>
      <c r="N41" t="s">
        <v>340</v>
      </c>
      <c r="O41">
        <v>7</v>
      </c>
    </row>
    <row r="42" spans="1:15" x14ac:dyDescent="0.3">
      <c r="A42">
        <v>3368</v>
      </c>
      <c r="B42" t="s">
        <v>165</v>
      </c>
      <c r="C42" t="s">
        <v>26</v>
      </c>
      <c r="D42" s="16">
        <v>45485</v>
      </c>
      <c r="E42" t="s">
        <v>19</v>
      </c>
      <c r="F42">
        <v>10</v>
      </c>
      <c r="G42" t="s">
        <v>24</v>
      </c>
      <c r="H42" t="s">
        <v>23</v>
      </c>
      <c r="I42" s="14">
        <v>0</v>
      </c>
      <c r="J42" t="s">
        <v>19</v>
      </c>
      <c r="K42">
        <v>20</v>
      </c>
      <c r="L42">
        <v>10</v>
      </c>
      <c r="M42">
        <v>20</v>
      </c>
      <c r="N42" t="s">
        <v>340</v>
      </c>
      <c r="O42">
        <v>7</v>
      </c>
    </row>
    <row r="43" spans="1:15" x14ac:dyDescent="0.3">
      <c r="A43">
        <v>3362</v>
      </c>
      <c r="B43" t="s">
        <v>159</v>
      </c>
      <c r="C43" t="s">
        <v>26</v>
      </c>
      <c r="D43" s="16">
        <v>45479</v>
      </c>
      <c r="E43" t="s">
        <v>19</v>
      </c>
      <c r="F43">
        <v>10</v>
      </c>
      <c r="G43" t="s">
        <v>24</v>
      </c>
      <c r="H43" t="s">
        <v>23</v>
      </c>
      <c r="I43" s="14">
        <v>0</v>
      </c>
      <c r="J43" t="s">
        <v>19</v>
      </c>
      <c r="K43">
        <v>20</v>
      </c>
      <c r="L43">
        <v>15</v>
      </c>
      <c r="M43">
        <v>15</v>
      </c>
      <c r="N43" t="s">
        <v>340</v>
      </c>
      <c r="O43">
        <v>7</v>
      </c>
    </row>
    <row r="44" spans="1:15" x14ac:dyDescent="0.3">
      <c r="A44">
        <v>3358</v>
      </c>
      <c r="B44" t="s">
        <v>155</v>
      </c>
      <c r="C44" t="s">
        <v>18</v>
      </c>
      <c r="D44" s="16">
        <v>45475</v>
      </c>
      <c r="E44" t="s">
        <v>19</v>
      </c>
      <c r="F44">
        <v>15</v>
      </c>
      <c r="G44" t="s">
        <v>24</v>
      </c>
      <c r="H44" t="s">
        <v>19</v>
      </c>
      <c r="I44" s="14">
        <v>30</v>
      </c>
      <c r="J44" t="s">
        <v>19</v>
      </c>
      <c r="K44">
        <v>20</v>
      </c>
      <c r="L44">
        <v>3</v>
      </c>
      <c r="M44">
        <v>62</v>
      </c>
      <c r="N44" t="s">
        <v>340</v>
      </c>
      <c r="O44">
        <v>7</v>
      </c>
    </row>
    <row r="45" spans="1:15" x14ac:dyDescent="0.3">
      <c r="A45">
        <v>3354</v>
      </c>
      <c r="B45" t="s">
        <v>151</v>
      </c>
      <c r="C45" t="s">
        <v>22</v>
      </c>
      <c r="D45" s="16">
        <v>45471</v>
      </c>
      <c r="E45" t="s">
        <v>19</v>
      </c>
      <c r="F45">
        <v>5</v>
      </c>
      <c r="G45" t="s">
        <v>24</v>
      </c>
      <c r="H45" t="s">
        <v>23</v>
      </c>
      <c r="I45" s="14">
        <v>0</v>
      </c>
      <c r="J45" t="s">
        <v>23</v>
      </c>
      <c r="K45">
        <v>0</v>
      </c>
      <c r="L45">
        <v>0</v>
      </c>
      <c r="M45">
        <v>5</v>
      </c>
      <c r="N45" t="s">
        <v>341</v>
      </c>
      <c r="O45">
        <v>6</v>
      </c>
    </row>
    <row r="46" spans="1:15" x14ac:dyDescent="0.3">
      <c r="A46">
        <v>3350</v>
      </c>
      <c r="B46" t="s">
        <v>147</v>
      </c>
      <c r="C46" t="s">
        <v>26</v>
      </c>
      <c r="D46" s="16">
        <v>45467</v>
      </c>
      <c r="E46" t="s">
        <v>19</v>
      </c>
      <c r="F46">
        <v>10</v>
      </c>
      <c r="G46" t="s">
        <v>24</v>
      </c>
      <c r="H46" t="s">
        <v>23</v>
      </c>
      <c r="I46" s="14">
        <v>0</v>
      </c>
      <c r="J46" t="s">
        <v>19</v>
      </c>
      <c r="K46">
        <v>20</v>
      </c>
      <c r="L46">
        <v>15</v>
      </c>
      <c r="M46">
        <v>15</v>
      </c>
      <c r="N46" t="s">
        <v>341</v>
      </c>
      <c r="O46">
        <v>6</v>
      </c>
    </row>
    <row r="47" spans="1:15" x14ac:dyDescent="0.3">
      <c r="A47">
        <v>3346</v>
      </c>
      <c r="B47" t="s">
        <v>144</v>
      </c>
      <c r="C47" t="s">
        <v>18</v>
      </c>
      <c r="D47" s="16">
        <v>45463</v>
      </c>
      <c r="E47" t="s">
        <v>19</v>
      </c>
      <c r="F47">
        <v>15</v>
      </c>
      <c r="G47" t="s">
        <v>24</v>
      </c>
      <c r="H47" t="s">
        <v>19</v>
      </c>
      <c r="I47" s="14">
        <v>30</v>
      </c>
      <c r="J47" t="s">
        <v>19</v>
      </c>
      <c r="K47">
        <v>20</v>
      </c>
      <c r="L47">
        <v>5</v>
      </c>
      <c r="M47">
        <v>60</v>
      </c>
      <c r="N47" t="s">
        <v>341</v>
      </c>
      <c r="O47">
        <v>6</v>
      </c>
    </row>
    <row r="48" spans="1:15" x14ac:dyDescent="0.3">
      <c r="A48">
        <v>3342</v>
      </c>
      <c r="B48" t="s">
        <v>140</v>
      </c>
      <c r="C48" t="s">
        <v>22</v>
      </c>
      <c r="D48" s="16">
        <v>45459</v>
      </c>
      <c r="E48" t="s">
        <v>19</v>
      </c>
      <c r="F48">
        <v>5</v>
      </c>
      <c r="G48" t="s">
        <v>24</v>
      </c>
      <c r="H48" t="s">
        <v>23</v>
      </c>
      <c r="I48" s="14">
        <v>0</v>
      </c>
      <c r="J48" t="s">
        <v>23</v>
      </c>
      <c r="K48">
        <v>0</v>
      </c>
      <c r="L48">
        <v>0</v>
      </c>
      <c r="M48">
        <v>5</v>
      </c>
      <c r="N48" t="s">
        <v>341</v>
      </c>
      <c r="O48">
        <v>6</v>
      </c>
    </row>
    <row r="49" spans="1:15" x14ac:dyDescent="0.3">
      <c r="A49">
        <v>3338</v>
      </c>
      <c r="B49" t="s">
        <v>136</v>
      </c>
      <c r="C49" t="s">
        <v>26</v>
      </c>
      <c r="D49" s="16">
        <v>45455</v>
      </c>
      <c r="E49" t="s">
        <v>19</v>
      </c>
      <c r="F49">
        <v>10</v>
      </c>
      <c r="G49" t="s">
        <v>24</v>
      </c>
      <c r="H49" t="s">
        <v>23</v>
      </c>
      <c r="I49" s="14">
        <v>0</v>
      </c>
      <c r="J49" t="s">
        <v>19</v>
      </c>
      <c r="K49">
        <v>20</v>
      </c>
      <c r="L49">
        <v>10</v>
      </c>
      <c r="M49">
        <v>20</v>
      </c>
      <c r="N49" t="s">
        <v>341</v>
      </c>
      <c r="O49">
        <v>6</v>
      </c>
    </row>
    <row r="50" spans="1:15" x14ac:dyDescent="0.3">
      <c r="A50">
        <v>3292</v>
      </c>
      <c r="B50" t="s">
        <v>90</v>
      </c>
      <c r="C50" t="s">
        <v>26</v>
      </c>
      <c r="D50" s="16">
        <v>45409</v>
      </c>
      <c r="E50" t="s">
        <v>19</v>
      </c>
      <c r="F50">
        <v>10</v>
      </c>
      <c r="G50" t="s">
        <v>24</v>
      </c>
      <c r="H50" t="s">
        <v>23</v>
      </c>
      <c r="I50" s="14">
        <v>0</v>
      </c>
      <c r="J50" t="s">
        <v>19</v>
      </c>
      <c r="K50">
        <v>20</v>
      </c>
      <c r="L50">
        <v>15</v>
      </c>
      <c r="M50">
        <v>15</v>
      </c>
      <c r="N50" t="s">
        <v>342</v>
      </c>
      <c r="O50">
        <v>4</v>
      </c>
    </row>
    <row r="51" spans="1:15" x14ac:dyDescent="0.3">
      <c r="A51">
        <v>3288</v>
      </c>
      <c r="B51" t="s">
        <v>86</v>
      </c>
      <c r="C51" t="s">
        <v>18</v>
      </c>
      <c r="D51" s="16">
        <v>45405</v>
      </c>
      <c r="E51" t="s">
        <v>19</v>
      </c>
      <c r="F51">
        <v>15</v>
      </c>
      <c r="G51" t="s">
        <v>24</v>
      </c>
      <c r="H51" t="s">
        <v>19</v>
      </c>
      <c r="I51" s="14">
        <v>30</v>
      </c>
      <c r="J51" t="s">
        <v>19</v>
      </c>
      <c r="K51">
        <v>20</v>
      </c>
      <c r="L51">
        <v>3</v>
      </c>
      <c r="M51">
        <v>62</v>
      </c>
      <c r="N51" t="s">
        <v>342</v>
      </c>
      <c r="O51">
        <v>4</v>
      </c>
    </row>
    <row r="52" spans="1:15" x14ac:dyDescent="0.3">
      <c r="A52">
        <v>3284</v>
      </c>
      <c r="B52" t="s">
        <v>82</v>
      </c>
      <c r="C52" t="s">
        <v>22</v>
      </c>
      <c r="D52" s="16">
        <v>45401</v>
      </c>
      <c r="E52" t="s">
        <v>19</v>
      </c>
      <c r="F52">
        <v>5</v>
      </c>
      <c r="G52" t="s">
        <v>24</v>
      </c>
      <c r="H52" t="s">
        <v>23</v>
      </c>
      <c r="I52" s="14">
        <v>0</v>
      </c>
      <c r="J52" t="s">
        <v>23</v>
      </c>
      <c r="K52">
        <v>0</v>
      </c>
      <c r="L52">
        <v>0</v>
      </c>
      <c r="M52">
        <v>5</v>
      </c>
      <c r="N52" t="s">
        <v>342</v>
      </c>
      <c r="O52">
        <v>4</v>
      </c>
    </row>
    <row r="53" spans="1:15" x14ac:dyDescent="0.3">
      <c r="A53">
        <v>3280</v>
      </c>
      <c r="B53" t="s">
        <v>78</v>
      </c>
      <c r="C53" t="s">
        <v>26</v>
      </c>
      <c r="D53" s="16">
        <v>45397</v>
      </c>
      <c r="E53" t="s">
        <v>19</v>
      </c>
      <c r="F53">
        <v>10</v>
      </c>
      <c r="G53" t="s">
        <v>24</v>
      </c>
      <c r="H53" t="s">
        <v>23</v>
      </c>
      <c r="I53" s="14">
        <v>0</v>
      </c>
      <c r="J53" t="s">
        <v>19</v>
      </c>
      <c r="K53">
        <v>20</v>
      </c>
      <c r="L53">
        <v>15</v>
      </c>
      <c r="M53">
        <v>15</v>
      </c>
      <c r="N53" t="s">
        <v>342</v>
      </c>
      <c r="O53">
        <v>4</v>
      </c>
    </row>
    <row r="54" spans="1:15" x14ac:dyDescent="0.3">
      <c r="A54">
        <v>3276</v>
      </c>
      <c r="B54" t="s">
        <v>74</v>
      </c>
      <c r="C54" t="s">
        <v>18</v>
      </c>
      <c r="D54" s="16">
        <v>45393</v>
      </c>
      <c r="E54" t="s">
        <v>19</v>
      </c>
      <c r="F54">
        <v>15</v>
      </c>
      <c r="G54" t="s">
        <v>24</v>
      </c>
      <c r="H54" t="s">
        <v>19</v>
      </c>
      <c r="I54" s="14">
        <v>30</v>
      </c>
      <c r="J54" t="s">
        <v>19</v>
      </c>
      <c r="K54">
        <v>20</v>
      </c>
      <c r="L54">
        <v>5</v>
      </c>
      <c r="M54">
        <v>60</v>
      </c>
      <c r="N54" t="s">
        <v>342</v>
      </c>
      <c r="O54">
        <v>4</v>
      </c>
    </row>
    <row r="55" spans="1:15" x14ac:dyDescent="0.3">
      <c r="A55">
        <v>3272</v>
      </c>
      <c r="B55" t="s">
        <v>70</v>
      </c>
      <c r="C55" t="s">
        <v>22</v>
      </c>
      <c r="D55" s="16">
        <v>45389</v>
      </c>
      <c r="E55" t="s">
        <v>19</v>
      </c>
      <c r="F55">
        <v>5</v>
      </c>
      <c r="G55" t="s">
        <v>24</v>
      </c>
      <c r="H55" t="s">
        <v>23</v>
      </c>
      <c r="I55" s="14">
        <v>0</v>
      </c>
      <c r="J55" t="s">
        <v>23</v>
      </c>
      <c r="K55">
        <v>0</v>
      </c>
      <c r="L55">
        <v>0</v>
      </c>
      <c r="M55">
        <v>5</v>
      </c>
      <c r="N55" t="s">
        <v>342</v>
      </c>
      <c r="O55">
        <v>4</v>
      </c>
    </row>
    <row r="56" spans="1:15" x14ac:dyDescent="0.3">
      <c r="A56">
        <v>3268</v>
      </c>
      <c r="B56" t="s">
        <v>66</v>
      </c>
      <c r="C56" t="s">
        <v>26</v>
      </c>
      <c r="D56" s="16">
        <v>45385</v>
      </c>
      <c r="E56" t="s">
        <v>19</v>
      </c>
      <c r="F56">
        <v>10</v>
      </c>
      <c r="G56" t="s">
        <v>24</v>
      </c>
      <c r="H56" t="s">
        <v>23</v>
      </c>
      <c r="I56" s="14">
        <v>0</v>
      </c>
      <c r="J56" t="s">
        <v>19</v>
      </c>
      <c r="K56">
        <v>20</v>
      </c>
      <c r="L56">
        <v>10</v>
      </c>
      <c r="M56">
        <v>20</v>
      </c>
      <c r="N56" t="s">
        <v>342</v>
      </c>
      <c r="O56">
        <v>4</v>
      </c>
    </row>
    <row r="57" spans="1:15" x14ac:dyDescent="0.3">
      <c r="A57">
        <v>3262</v>
      </c>
      <c r="B57" t="s">
        <v>60</v>
      </c>
      <c r="C57" t="s">
        <v>22</v>
      </c>
      <c r="D57" s="16">
        <v>45379</v>
      </c>
      <c r="E57" t="s">
        <v>19</v>
      </c>
      <c r="F57">
        <v>5</v>
      </c>
      <c r="G57" t="s">
        <v>24</v>
      </c>
      <c r="H57" t="s">
        <v>23</v>
      </c>
      <c r="I57" s="14">
        <v>0</v>
      </c>
      <c r="J57" t="s">
        <v>23</v>
      </c>
      <c r="K57">
        <v>0</v>
      </c>
      <c r="L57">
        <v>0</v>
      </c>
      <c r="M57">
        <v>5</v>
      </c>
      <c r="N57" t="s">
        <v>343</v>
      </c>
      <c r="O57">
        <v>3</v>
      </c>
    </row>
    <row r="58" spans="1:15" x14ac:dyDescent="0.3">
      <c r="A58">
        <v>3258</v>
      </c>
      <c r="B58" t="s">
        <v>56</v>
      </c>
      <c r="C58" t="s">
        <v>26</v>
      </c>
      <c r="D58" s="16">
        <v>45375</v>
      </c>
      <c r="E58" t="s">
        <v>19</v>
      </c>
      <c r="F58">
        <v>10</v>
      </c>
      <c r="G58" t="s">
        <v>24</v>
      </c>
      <c r="H58" t="s">
        <v>23</v>
      </c>
      <c r="I58" s="14">
        <v>0</v>
      </c>
      <c r="J58" t="s">
        <v>19</v>
      </c>
      <c r="K58">
        <v>20</v>
      </c>
      <c r="L58">
        <v>15</v>
      </c>
      <c r="M58">
        <v>15</v>
      </c>
      <c r="N58" t="s">
        <v>343</v>
      </c>
      <c r="O58">
        <v>3</v>
      </c>
    </row>
    <row r="59" spans="1:15" x14ac:dyDescent="0.3">
      <c r="A59">
        <v>3254</v>
      </c>
      <c r="B59" t="s">
        <v>52</v>
      </c>
      <c r="C59" t="s">
        <v>18</v>
      </c>
      <c r="D59" s="16">
        <v>45371</v>
      </c>
      <c r="E59" t="s">
        <v>19</v>
      </c>
      <c r="F59">
        <v>15</v>
      </c>
      <c r="G59" t="s">
        <v>24</v>
      </c>
      <c r="H59" t="s">
        <v>19</v>
      </c>
      <c r="I59" s="14">
        <v>30</v>
      </c>
      <c r="J59" t="s">
        <v>19</v>
      </c>
      <c r="K59">
        <v>20</v>
      </c>
      <c r="L59">
        <v>20</v>
      </c>
      <c r="M59">
        <v>45</v>
      </c>
      <c r="N59" t="s">
        <v>343</v>
      </c>
      <c r="O59">
        <v>3</v>
      </c>
    </row>
    <row r="60" spans="1:15" x14ac:dyDescent="0.3">
      <c r="A60">
        <v>3250</v>
      </c>
      <c r="B60" t="s">
        <v>48</v>
      </c>
      <c r="C60" t="s">
        <v>22</v>
      </c>
      <c r="D60" s="16">
        <v>45367</v>
      </c>
      <c r="E60" t="s">
        <v>19</v>
      </c>
      <c r="F60">
        <v>5</v>
      </c>
      <c r="G60" t="s">
        <v>24</v>
      </c>
      <c r="H60" t="s">
        <v>23</v>
      </c>
      <c r="I60" s="14">
        <v>0</v>
      </c>
      <c r="J60" t="s">
        <v>23</v>
      </c>
      <c r="K60">
        <v>0</v>
      </c>
      <c r="L60">
        <v>0</v>
      </c>
      <c r="M60">
        <v>5</v>
      </c>
      <c r="N60" t="s">
        <v>343</v>
      </c>
      <c r="O60">
        <v>3</v>
      </c>
    </row>
    <row r="61" spans="1:15" x14ac:dyDescent="0.3">
      <c r="A61">
        <v>3246</v>
      </c>
      <c r="B61" t="s">
        <v>44</v>
      </c>
      <c r="C61" t="s">
        <v>26</v>
      </c>
      <c r="D61" s="16">
        <v>45363</v>
      </c>
      <c r="E61" t="s">
        <v>19</v>
      </c>
      <c r="F61">
        <v>10</v>
      </c>
      <c r="G61" t="s">
        <v>24</v>
      </c>
      <c r="H61" t="s">
        <v>23</v>
      </c>
      <c r="I61" s="14">
        <v>0</v>
      </c>
      <c r="J61" t="s">
        <v>19</v>
      </c>
      <c r="K61">
        <v>20</v>
      </c>
      <c r="L61">
        <v>12</v>
      </c>
      <c r="M61">
        <v>18</v>
      </c>
      <c r="N61" t="s">
        <v>343</v>
      </c>
      <c r="O61">
        <v>3</v>
      </c>
    </row>
    <row r="62" spans="1:15" x14ac:dyDescent="0.3">
      <c r="A62">
        <v>3242</v>
      </c>
      <c r="B62" t="s">
        <v>40</v>
      </c>
      <c r="C62" t="s">
        <v>18</v>
      </c>
      <c r="D62" s="16">
        <v>45359</v>
      </c>
      <c r="E62" t="s">
        <v>19</v>
      </c>
      <c r="F62">
        <v>15</v>
      </c>
      <c r="G62" t="s">
        <v>24</v>
      </c>
      <c r="H62" t="s">
        <v>19</v>
      </c>
      <c r="I62" s="14">
        <v>30</v>
      </c>
      <c r="J62" t="s">
        <v>19</v>
      </c>
      <c r="K62">
        <v>20</v>
      </c>
      <c r="L62">
        <v>20</v>
      </c>
      <c r="M62">
        <v>45</v>
      </c>
      <c r="N62" t="s">
        <v>343</v>
      </c>
      <c r="O62">
        <v>3</v>
      </c>
    </row>
    <row r="63" spans="1:15" x14ac:dyDescent="0.3">
      <c r="A63">
        <v>3238</v>
      </c>
      <c r="B63" t="s">
        <v>36</v>
      </c>
      <c r="C63" t="s">
        <v>22</v>
      </c>
      <c r="D63" s="16">
        <v>45355</v>
      </c>
      <c r="E63" t="s">
        <v>19</v>
      </c>
      <c r="F63">
        <v>5</v>
      </c>
      <c r="G63" t="s">
        <v>24</v>
      </c>
      <c r="H63" t="s">
        <v>23</v>
      </c>
      <c r="I63" s="14">
        <v>0</v>
      </c>
      <c r="J63" t="s">
        <v>23</v>
      </c>
      <c r="K63">
        <v>0</v>
      </c>
      <c r="L63">
        <v>0</v>
      </c>
      <c r="M63">
        <v>5</v>
      </c>
      <c r="N63" t="s">
        <v>343</v>
      </c>
      <c r="O63">
        <v>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L34"/>
  <sheetViews>
    <sheetView showGridLines="0" workbookViewId="0">
      <selection activeCell="D32" sqref="D32"/>
    </sheetView>
  </sheetViews>
  <sheetFormatPr defaultRowHeight="14.4" x14ac:dyDescent="0.3"/>
  <cols>
    <col min="2" max="2" width="17.88671875" bestFit="1" customWidth="1"/>
    <col min="3" max="3" width="34.109375" bestFit="1" customWidth="1"/>
    <col min="4" max="4" width="37.33203125" bestFit="1" customWidth="1"/>
    <col min="5" max="5" width="11.88671875" bestFit="1" customWidth="1"/>
    <col min="6" max="6" width="4" bestFit="1" customWidth="1"/>
    <col min="7" max="7" width="4.21875" bestFit="1" customWidth="1"/>
    <col min="8" max="12" width="4" bestFit="1" customWidth="1"/>
    <col min="13" max="13" width="4.109375" bestFit="1" customWidth="1"/>
    <col min="14" max="14" width="4" bestFit="1" customWidth="1"/>
    <col min="15" max="15" width="10.44140625" bestFit="1" customWidth="1"/>
    <col min="16" max="37" width="10.33203125" bestFit="1" customWidth="1"/>
    <col min="38" max="38" width="9" bestFit="1" customWidth="1"/>
    <col min="39" max="68" width="10.33203125" bestFit="1" customWidth="1"/>
    <col min="69" max="69" width="8.44140625" bestFit="1" customWidth="1"/>
    <col min="70" max="100" width="10.33203125" bestFit="1" customWidth="1"/>
    <col min="101" max="101" width="8.88671875" bestFit="1" customWidth="1"/>
    <col min="102" max="131" width="10.33203125" bestFit="1" customWidth="1"/>
    <col min="132" max="132" width="8.44140625" bestFit="1" customWidth="1"/>
    <col min="133" max="163" width="10.33203125" bestFit="1" customWidth="1"/>
    <col min="164" max="164" width="7.88671875" bestFit="1" customWidth="1"/>
    <col min="165" max="195" width="10.33203125" bestFit="1" customWidth="1"/>
    <col min="196" max="196" width="8.77734375" bestFit="1" customWidth="1"/>
    <col min="197" max="226" width="10.33203125" bestFit="1" customWidth="1"/>
    <col min="227" max="227" width="8.44140625" bestFit="1" customWidth="1"/>
    <col min="228" max="258" width="10.33203125" bestFit="1" customWidth="1"/>
    <col min="259" max="259" width="8.5546875" bestFit="1" customWidth="1"/>
    <col min="260" max="289" width="10.33203125" bestFit="1" customWidth="1"/>
    <col min="290" max="290" width="8.88671875" bestFit="1" customWidth="1"/>
    <col min="291" max="306" width="10.33203125" bestFit="1" customWidth="1"/>
    <col min="307" max="307" width="8.77734375" bestFit="1" customWidth="1"/>
    <col min="308" max="308" width="10.44140625" bestFit="1" customWidth="1"/>
  </cols>
  <sheetData>
    <row r="3" spans="2:12" x14ac:dyDescent="0.3">
      <c r="B3" s="15" t="s">
        <v>315</v>
      </c>
      <c r="C3" s="15"/>
      <c r="D3" s="15"/>
      <c r="E3" s="15"/>
      <c r="F3" s="15"/>
      <c r="G3" s="15"/>
      <c r="H3" s="15"/>
      <c r="I3" s="15"/>
      <c r="J3" s="15"/>
      <c r="K3" s="15"/>
      <c r="L3" s="15"/>
    </row>
    <row r="5" spans="2:12" x14ac:dyDescent="0.3">
      <c r="B5" t="s">
        <v>316</v>
      </c>
    </row>
    <row r="6" spans="2:12" x14ac:dyDescent="0.3">
      <c r="B6" t="s">
        <v>317</v>
      </c>
    </row>
    <row r="7" spans="2:12" x14ac:dyDescent="0.3">
      <c r="B7" t="s">
        <v>319</v>
      </c>
    </row>
    <row r="10" spans="2:12" x14ac:dyDescent="0.3">
      <c r="B10" s="12" t="s">
        <v>16</v>
      </c>
      <c r="C10" t="s" vm="1">
        <v>27</v>
      </c>
    </row>
    <row r="12" spans="2:12" x14ac:dyDescent="0.3">
      <c r="B12" s="12" t="s">
        <v>312</v>
      </c>
      <c r="C12" t="s">
        <v>314</v>
      </c>
    </row>
    <row r="13" spans="2:12" x14ac:dyDescent="0.3">
      <c r="B13" s="13" t="s">
        <v>23</v>
      </c>
      <c r="C13" s="14">
        <v>806</v>
      </c>
    </row>
    <row r="14" spans="2:12" x14ac:dyDescent="0.3">
      <c r="B14" s="13" t="s">
        <v>19</v>
      </c>
      <c r="C14" s="14">
        <v>1502</v>
      </c>
    </row>
    <row r="15" spans="2:12" x14ac:dyDescent="0.3">
      <c r="B15" s="13" t="s">
        <v>313</v>
      </c>
      <c r="C15" s="14">
        <v>2308</v>
      </c>
    </row>
    <row r="19" spans="2:5" x14ac:dyDescent="0.3">
      <c r="B19" s="12" t="s">
        <v>16</v>
      </c>
      <c r="C19" t="s" vm="1">
        <v>27</v>
      </c>
    </row>
    <row r="21" spans="2:5" x14ac:dyDescent="0.3">
      <c r="B21" s="12" t="s">
        <v>312</v>
      </c>
      <c r="C21" t="s">
        <v>345</v>
      </c>
    </row>
    <row r="22" spans="2:5" x14ac:dyDescent="0.3">
      <c r="B22" s="13" t="s">
        <v>18</v>
      </c>
      <c r="C22" s="14">
        <v>990</v>
      </c>
    </row>
    <row r="23" spans="2:5" x14ac:dyDescent="0.3">
      <c r="B23" s="13" t="s">
        <v>313</v>
      </c>
      <c r="C23" s="14">
        <v>990</v>
      </c>
      <c r="E23" s="19">
        <f>GETPIVOTDATA("[Measures].[Soma de EA Play Season Pass Price]",$B$21)</f>
        <v>990</v>
      </c>
    </row>
    <row r="28" spans="2:5" x14ac:dyDescent="0.3">
      <c r="B28" s="12" t="s">
        <v>16</v>
      </c>
      <c r="C28" t="s" vm="1">
        <v>27</v>
      </c>
    </row>
    <row r="30" spans="2:5" x14ac:dyDescent="0.3">
      <c r="B30" s="12" t="s">
        <v>312</v>
      </c>
      <c r="C30" t="s">
        <v>346</v>
      </c>
      <c r="E30" s="19">
        <f>GETPIVOTDATA("[Measures].[Soma de Minecraft Season Pass Price]",$B$30)</f>
        <v>1140</v>
      </c>
    </row>
    <row r="31" spans="2:5" x14ac:dyDescent="0.3">
      <c r="B31" s="13" t="s">
        <v>22</v>
      </c>
      <c r="C31" s="14">
        <v>0</v>
      </c>
    </row>
    <row r="32" spans="2:5" x14ac:dyDescent="0.3">
      <c r="B32" s="13" t="s">
        <v>26</v>
      </c>
      <c r="C32" s="14">
        <v>480</v>
      </c>
    </row>
    <row r="33" spans="2:3" x14ac:dyDescent="0.3">
      <c r="B33" s="13" t="s">
        <v>18</v>
      </c>
      <c r="C33" s="14">
        <v>660</v>
      </c>
    </row>
    <row r="34" spans="2:3" x14ac:dyDescent="0.3">
      <c r="B34" s="13" t="s">
        <v>313</v>
      </c>
      <c r="C34" s="14">
        <v>1140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BU280"/>
  <sheetViews>
    <sheetView showGridLines="0" tabSelected="1" zoomScale="80" zoomScaleNormal="80" workbookViewId="0">
      <selection activeCell="W15" sqref="W15"/>
    </sheetView>
  </sheetViews>
  <sheetFormatPr defaultRowHeight="14.4" x14ac:dyDescent="0.3"/>
  <cols>
    <col min="1" max="1" width="28" style="4" customWidth="1"/>
    <col min="2" max="2" width="2.33203125" customWidth="1"/>
    <col min="12" max="12" width="6.5546875" customWidth="1"/>
    <col min="20" max="20" width="5.109375" customWidth="1"/>
  </cols>
  <sheetData>
    <row r="2" spans="1:73" ht="39" customHeight="1" thickBot="1" x14ac:dyDescent="0.45">
      <c r="C2" s="20" t="s">
        <v>318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</row>
    <row r="3" spans="1:73" ht="39" customHeight="1" thickTop="1" x14ac:dyDescent="0.3"/>
    <row r="4" spans="1:73" ht="16.8" x14ac:dyDescent="0.4">
      <c r="A4" s="21" t="s">
        <v>347</v>
      </c>
      <c r="B4" s="7"/>
      <c r="C4" s="22" t="s">
        <v>348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</row>
    <row r="5" spans="1:73" x14ac:dyDescent="0.3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</row>
    <row r="6" spans="1:73" x14ac:dyDescent="0.3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</row>
    <row r="7" spans="1:73" x14ac:dyDescent="0.3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</row>
    <row r="8" spans="1:73" x14ac:dyDescent="0.3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</row>
    <row r="9" spans="1:73" x14ac:dyDescent="0.3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</row>
    <row r="10" spans="1:73" x14ac:dyDescent="0.3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</row>
    <row r="11" spans="1:73" x14ac:dyDescent="0.3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</row>
    <row r="12" spans="1:73" x14ac:dyDescent="0.3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</row>
    <row r="13" spans="1:73" x14ac:dyDescent="0.3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</row>
    <row r="14" spans="1:73" x14ac:dyDescent="0.3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</row>
    <row r="15" spans="1:73" x14ac:dyDescent="0.3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</row>
    <row r="16" spans="1:73" x14ac:dyDescent="0.3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</row>
    <row r="17" spans="2:73" x14ac:dyDescent="0.3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</row>
    <row r="18" spans="2:73" x14ac:dyDescent="0.3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</row>
    <row r="19" spans="2:73" x14ac:dyDescent="0.3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</row>
    <row r="20" spans="2:73" x14ac:dyDescent="0.3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</row>
    <row r="21" spans="2:73" x14ac:dyDescent="0.3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</row>
    <row r="22" spans="2:73" x14ac:dyDescent="0.3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</row>
    <row r="23" spans="2:73" x14ac:dyDescent="0.3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</row>
    <row r="24" spans="2:73" x14ac:dyDescent="0.3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</row>
    <row r="25" spans="2:73" x14ac:dyDescent="0.3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</row>
    <row r="26" spans="2:73" x14ac:dyDescent="0.3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</row>
    <row r="27" spans="2:73" x14ac:dyDescent="0.3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</row>
    <row r="28" spans="2:73" x14ac:dyDescent="0.3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</row>
    <row r="29" spans="2:73" x14ac:dyDescent="0.3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</row>
    <row r="30" spans="2:73" x14ac:dyDescent="0.3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</row>
    <row r="31" spans="2:73" x14ac:dyDescent="0.3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</row>
    <row r="32" spans="2:73" x14ac:dyDescent="0.3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</row>
    <row r="33" spans="2:73" x14ac:dyDescent="0.3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</row>
    <row r="34" spans="2:73" x14ac:dyDescent="0.3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</row>
    <row r="35" spans="2:73" x14ac:dyDescent="0.3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</row>
    <row r="36" spans="2:73" x14ac:dyDescent="0.3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</row>
    <row r="37" spans="2:73" x14ac:dyDescent="0.3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</row>
    <row r="38" spans="2:73" x14ac:dyDescent="0.3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</row>
    <row r="39" spans="2:73" x14ac:dyDescent="0.3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</row>
    <row r="40" spans="2:73" x14ac:dyDescent="0.3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</row>
    <row r="41" spans="2:73" x14ac:dyDescent="0.3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</row>
    <row r="42" spans="2:73" x14ac:dyDescent="0.3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</row>
    <row r="43" spans="2:73" x14ac:dyDescent="0.3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</row>
    <row r="44" spans="2:73" x14ac:dyDescent="0.3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</row>
    <row r="45" spans="2:73" x14ac:dyDescent="0.3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</row>
    <row r="46" spans="2:73" x14ac:dyDescent="0.3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</row>
    <row r="47" spans="2:73" x14ac:dyDescent="0.3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</row>
    <row r="48" spans="2:73" x14ac:dyDescent="0.3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</row>
    <row r="49" spans="2:73" x14ac:dyDescent="0.3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</row>
    <row r="50" spans="2:73" x14ac:dyDescent="0.3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</row>
    <row r="51" spans="2:73" x14ac:dyDescent="0.3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</row>
    <row r="52" spans="2:73" x14ac:dyDescent="0.3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</row>
    <row r="53" spans="2:73" x14ac:dyDescent="0.3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</row>
    <row r="54" spans="2:73" x14ac:dyDescent="0.3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</row>
    <row r="55" spans="2:73" x14ac:dyDescent="0.3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</row>
    <row r="56" spans="2:73" x14ac:dyDescent="0.3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</row>
    <row r="57" spans="2:73" x14ac:dyDescent="0.3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</row>
    <row r="58" spans="2:73" x14ac:dyDescent="0.3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</row>
    <row r="59" spans="2:73" x14ac:dyDescent="0.3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</row>
    <row r="60" spans="2:73" x14ac:dyDescent="0.3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</row>
    <row r="61" spans="2:73" x14ac:dyDescent="0.3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</row>
    <row r="62" spans="2:73" x14ac:dyDescent="0.3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</row>
    <row r="63" spans="2:73" x14ac:dyDescent="0.3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</row>
    <row r="64" spans="2:73" x14ac:dyDescent="0.3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</row>
    <row r="65" spans="2:73" x14ac:dyDescent="0.3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</row>
    <row r="66" spans="2:73" x14ac:dyDescent="0.3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</row>
    <row r="67" spans="2:73" x14ac:dyDescent="0.3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</row>
    <row r="68" spans="2:73" x14ac:dyDescent="0.3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</row>
    <row r="69" spans="2:73" x14ac:dyDescent="0.3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</row>
    <row r="70" spans="2:73" x14ac:dyDescent="0.3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</row>
    <row r="71" spans="2:73" x14ac:dyDescent="0.3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</row>
    <row r="72" spans="2:73" x14ac:dyDescent="0.3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</row>
    <row r="73" spans="2:73" x14ac:dyDescent="0.3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</row>
    <row r="74" spans="2:73" x14ac:dyDescent="0.3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</row>
    <row r="75" spans="2:73" x14ac:dyDescent="0.3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</row>
    <row r="76" spans="2:73" x14ac:dyDescent="0.3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</row>
    <row r="77" spans="2:73" x14ac:dyDescent="0.3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</row>
    <row r="78" spans="2:73" x14ac:dyDescent="0.3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</row>
    <row r="79" spans="2:73" x14ac:dyDescent="0.3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</row>
    <row r="80" spans="2:73" x14ac:dyDescent="0.3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</row>
    <row r="81" spans="2:73" x14ac:dyDescent="0.3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</row>
    <row r="82" spans="2:73" x14ac:dyDescent="0.3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</row>
    <row r="83" spans="2:73" x14ac:dyDescent="0.3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</row>
    <row r="84" spans="2:73" x14ac:dyDescent="0.3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</row>
    <row r="85" spans="2:73" x14ac:dyDescent="0.3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</row>
    <row r="86" spans="2:73" x14ac:dyDescent="0.3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</row>
    <row r="87" spans="2:73" x14ac:dyDescent="0.3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</row>
    <row r="88" spans="2:73" x14ac:dyDescent="0.3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</row>
    <row r="89" spans="2:73" x14ac:dyDescent="0.3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</row>
    <row r="90" spans="2:73" x14ac:dyDescent="0.3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</row>
    <row r="91" spans="2:73" x14ac:dyDescent="0.3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</row>
    <row r="92" spans="2:73" x14ac:dyDescent="0.3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</row>
    <row r="93" spans="2:73" x14ac:dyDescent="0.3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</row>
    <row r="94" spans="2:73" x14ac:dyDescent="0.3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</row>
    <row r="95" spans="2:73" x14ac:dyDescent="0.3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</row>
    <row r="96" spans="2:73" x14ac:dyDescent="0.3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</row>
    <row r="97" spans="2:73" x14ac:dyDescent="0.3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</row>
    <row r="98" spans="2:73" x14ac:dyDescent="0.3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</row>
    <row r="99" spans="2:73" x14ac:dyDescent="0.3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</row>
    <row r="100" spans="2:73" x14ac:dyDescent="0.3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</row>
    <row r="101" spans="2:73" x14ac:dyDescent="0.3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</row>
    <row r="102" spans="2:73" x14ac:dyDescent="0.3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</row>
    <row r="103" spans="2:73" x14ac:dyDescent="0.3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</row>
    <row r="104" spans="2:73" x14ac:dyDescent="0.3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</row>
    <row r="105" spans="2:73" x14ac:dyDescent="0.3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</row>
    <row r="106" spans="2:73" x14ac:dyDescent="0.3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</row>
    <row r="107" spans="2:73" x14ac:dyDescent="0.3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</row>
    <row r="108" spans="2:73" x14ac:dyDescent="0.3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</row>
    <row r="109" spans="2:73" x14ac:dyDescent="0.3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</row>
    <row r="110" spans="2:73" x14ac:dyDescent="0.3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</row>
    <row r="111" spans="2:73" x14ac:dyDescent="0.3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</row>
    <row r="112" spans="2:73" x14ac:dyDescent="0.3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</row>
    <row r="113" spans="2:73" x14ac:dyDescent="0.3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</row>
    <row r="114" spans="2:73" x14ac:dyDescent="0.3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</row>
    <row r="115" spans="2:73" x14ac:dyDescent="0.3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</row>
    <row r="116" spans="2:73" x14ac:dyDescent="0.3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</row>
    <row r="117" spans="2:73" x14ac:dyDescent="0.3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</row>
    <row r="118" spans="2:73" x14ac:dyDescent="0.3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</row>
    <row r="119" spans="2:73" x14ac:dyDescent="0.3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</row>
    <row r="120" spans="2:73" x14ac:dyDescent="0.3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</row>
    <row r="121" spans="2:73" x14ac:dyDescent="0.3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</row>
    <row r="122" spans="2:73" x14ac:dyDescent="0.3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</row>
    <row r="123" spans="2:73" x14ac:dyDescent="0.3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</row>
    <row r="124" spans="2:73" x14ac:dyDescent="0.3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</row>
    <row r="125" spans="2:73" x14ac:dyDescent="0.3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</row>
    <row r="126" spans="2:73" x14ac:dyDescent="0.3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</row>
    <row r="127" spans="2:73" x14ac:dyDescent="0.3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</row>
    <row r="128" spans="2:73" x14ac:dyDescent="0.3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</row>
    <row r="129" spans="2:73" x14ac:dyDescent="0.3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</row>
    <row r="130" spans="2:73" x14ac:dyDescent="0.3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</row>
    <row r="131" spans="2:73" x14ac:dyDescent="0.3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</row>
    <row r="132" spans="2:73" x14ac:dyDescent="0.3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</row>
    <row r="133" spans="2:73" x14ac:dyDescent="0.3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</row>
    <row r="134" spans="2:73" x14ac:dyDescent="0.3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</row>
    <row r="135" spans="2:73" x14ac:dyDescent="0.3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</row>
    <row r="136" spans="2:73" x14ac:dyDescent="0.3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</row>
    <row r="137" spans="2:73" x14ac:dyDescent="0.3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</row>
    <row r="138" spans="2:73" x14ac:dyDescent="0.3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</row>
    <row r="139" spans="2:73" x14ac:dyDescent="0.3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</row>
    <row r="140" spans="2:73" x14ac:dyDescent="0.3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</row>
    <row r="141" spans="2:73" x14ac:dyDescent="0.3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</row>
    <row r="142" spans="2:73" x14ac:dyDescent="0.3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</row>
    <row r="143" spans="2:73" x14ac:dyDescent="0.3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</row>
    <row r="144" spans="2:73" x14ac:dyDescent="0.3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</row>
    <row r="145" spans="2:73" x14ac:dyDescent="0.3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</row>
    <row r="146" spans="2:73" x14ac:dyDescent="0.3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</row>
    <row r="147" spans="2:73" x14ac:dyDescent="0.3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</row>
    <row r="148" spans="2:73" x14ac:dyDescent="0.3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</row>
    <row r="149" spans="2:73" x14ac:dyDescent="0.3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</row>
    <row r="150" spans="2:73" x14ac:dyDescent="0.3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</row>
    <row r="151" spans="2:73" x14ac:dyDescent="0.3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</row>
    <row r="152" spans="2:73" x14ac:dyDescent="0.3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</row>
    <row r="153" spans="2:73" x14ac:dyDescent="0.3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</row>
    <row r="154" spans="2:73" x14ac:dyDescent="0.3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</row>
    <row r="155" spans="2:73" x14ac:dyDescent="0.3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</row>
    <row r="156" spans="2:73" x14ac:dyDescent="0.3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</row>
    <row r="157" spans="2:73" x14ac:dyDescent="0.3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</row>
    <row r="158" spans="2:73" x14ac:dyDescent="0.3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</row>
    <row r="159" spans="2:73" x14ac:dyDescent="0.3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</row>
    <row r="160" spans="2:73" x14ac:dyDescent="0.3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</row>
    <row r="161" spans="2:73" x14ac:dyDescent="0.3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</row>
    <row r="162" spans="2:73" x14ac:dyDescent="0.3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</row>
    <row r="163" spans="2:73" x14ac:dyDescent="0.3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</row>
    <row r="164" spans="2:73" x14ac:dyDescent="0.3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</row>
    <row r="165" spans="2:73" x14ac:dyDescent="0.3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</row>
    <row r="166" spans="2:73" x14ac:dyDescent="0.3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</row>
    <row r="167" spans="2:73" x14ac:dyDescent="0.3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</row>
    <row r="168" spans="2:73" x14ac:dyDescent="0.3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</row>
    <row r="169" spans="2:73" x14ac:dyDescent="0.3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</row>
    <row r="170" spans="2:73" x14ac:dyDescent="0.3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</row>
    <row r="171" spans="2:73" x14ac:dyDescent="0.3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</row>
    <row r="172" spans="2:73" x14ac:dyDescent="0.3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</row>
    <row r="173" spans="2:73" x14ac:dyDescent="0.3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</row>
    <row r="174" spans="2:73" x14ac:dyDescent="0.3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</row>
    <row r="175" spans="2:73" x14ac:dyDescent="0.3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</row>
    <row r="176" spans="2:73" x14ac:dyDescent="0.3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</row>
    <row r="177" spans="2:73" x14ac:dyDescent="0.3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</row>
    <row r="178" spans="2:73" x14ac:dyDescent="0.3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</row>
    <row r="179" spans="2:73" x14ac:dyDescent="0.3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</row>
    <row r="180" spans="2:73" x14ac:dyDescent="0.3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</row>
    <row r="181" spans="2:73" x14ac:dyDescent="0.3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</row>
    <row r="182" spans="2:73" x14ac:dyDescent="0.3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</row>
    <row r="183" spans="2:73" x14ac:dyDescent="0.3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</row>
    <row r="184" spans="2:73" x14ac:dyDescent="0.3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</row>
    <row r="185" spans="2:73" x14ac:dyDescent="0.3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</row>
    <row r="186" spans="2:73" x14ac:dyDescent="0.3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</row>
    <row r="187" spans="2:73" x14ac:dyDescent="0.3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</row>
    <row r="188" spans="2:73" x14ac:dyDescent="0.3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</row>
    <row r="189" spans="2:73" x14ac:dyDescent="0.3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</row>
    <row r="190" spans="2:73" x14ac:dyDescent="0.3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</row>
    <row r="191" spans="2:73" x14ac:dyDescent="0.3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</row>
    <row r="192" spans="2:73" x14ac:dyDescent="0.3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</row>
    <row r="193" spans="2:73" x14ac:dyDescent="0.3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</row>
    <row r="194" spans="2:73" x14ac:dyDescent="0.3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</row>
    <row r="195" spans="2:73" x14ac:dyDescent="0.3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</row>
    <row r="196" spans="2:73" x14ac:dyDescent="0.3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</row>
    <row r="197" spans="2:73" x14ac:dyDescent="0.3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</row>
    <row r="198" spans="2:73" x14ac:dyDescent="0.3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</row>
    <row r="199" spans="2:73" x14ac:dyDescent="0.3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</row>
    <row r="200" spans="2:73" x14ac:dyDescent="0.3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</row>
    <row r="201" spans="2:73" x14ac:dyDescent="0.3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</row>
    <row r="202" spans="2:73" x14ac:dyDescent="0.3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</row>
    <row r="203" spans="2:73" x14ac:dyDescent="0.3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</row>
    <row r="204" spans="2:73" x14ac:dyDescent="0.3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</row>
    <row r="205" spans="2:73" x14ac:dyDescent="0.3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</row>
    <row r="206" spans="2:73" x14ac:dyDescent="0.3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</row>
    <row r="207" spans="2:73" x14ac:dyDescent="0.3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</row>
    <row r="208" spans="2:73" x14ac:dyDescent="0.3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</row>
    <row r="209" spans="2:73" x14ac:dyDescent="0.3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</row>
    <row r="210" spans="2:73" x14ac:dyDescent="0.3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</row>
    <row r="211" spans="2:73" x14ac:dyDescent="0.3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</row>
    <row r="212" spans="2:73" x14ac:dyDescent="0.3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</row>
    <row r="213" spans="2:73" x14ac:dyDescent="0.3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</row>
    <row r="214" spans="2:73" x14ac:dyDescent="0.3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</row>
    <row r="215" spans="2:73" x14ac:dyDescent="0.3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</row>
    <row r="216" spans="2:73" x14ac:dyDescent="0.3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</row>
    <row r="217" spans="2:73" x14ac:dyDescent="0.3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</row>
    <row r="218" spans="2:73" x14ac:dyDescent="0.3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</row>
    <row r="219" spans="2:73" x14ac:dyDescent="0.3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</row>
    <row r="220" spans="2:73" x14ac:dyDescent="0.3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</row>
    <row r="221" spans="2:73" x14ac:dyDescent="0.3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</row>
    <row r="222" spans="2:73" x14ac:dyDescent="0.3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</row>
    <row r="223" spans="2:73" x14ac:dyDescent="0.3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</row>
    <row r="224" spans="2:73" x14ac:dyDescent="0.3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</row>
    <row r="225" spans="2:73" x14ac:dyDescent="0.3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</row>
    <row r="226" spans="2:73" x14ac:dyDescent="0.3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</row>
    <row r="227" spans="2:73" x14ac:dyDescent="0.3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</row>
    <row r="228" spans="2:73" x14ac:dyDescent="0.3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</row>
    <row r="229" spans="2:73" x14ac:dyDescent="0.3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</row>
    <row r="230" spans="2:73" x14ac:dyDescent="0.3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</row>
    <row r="231" spans="2:73" x14ac:dyDescent="0.3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</row>
    <row r="232" spans="2:73" x14ac:dyDescent="0.3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</row>
    <row r="233" spans="2:73" x14ac:dyDescent="0.3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</row>
    <row r="234" spans="2:73" x14ac:dyDescent="0.3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</row>
    <row r="235" spans="2:73" x14ac:dyDescent="0.3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</row>
    <row r="236" spans="2:73" x14ac:dyDescent="0.3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</row>
    <row r="237" spans="2:73" x14ac:dyDescent="0.3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</row>
    <row r="238" spans="2:73" x14ac:dyDescent="0.3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</row>
    <row r="239" spans="2:73" x14ac:dyDescent="0.3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</row>
    <row r="240" spans="2:73" x14ac:dyDescent="0.3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</row>
    <row r="241" spans="2:73" x14ac:dyDescent="0.3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</row>
    <row r="242" spans="2:73" x14ac:dyDescent="0.3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</row>
    <row r="243" spans="2:73" x14ac:dyDescent="0.3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</row>
    <row r="244" spans="2:73" x14ac:dyDescent="0.3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</row>
    <row r="245" spans="2:73" x14ac:dyDescent="0.3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</row>
    <row r="246" spans="2:73" x14ac:dyDescent="0.3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</row>
    <row r="247" spans="2:73" x14ac:dyDescent="0.3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</row>
    <row r="248" spans="2:73" x14ac:dyDescent="0.3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</row>
    <row r="249" spans="2:73" x14ac:dyDescent="0.3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</row>
    <row r="250" spans="2:73" x14ac:dyDescent="0.3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</row>
    <row r="251" spans="2:73" x14ac:dyDescent="0.3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</row>
    <row r="252" spans="2:73" x14ac:dyDescent="0.3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</row>
    <row r="253" spans="2:73" x14ac:dyDescent="0.3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</row>
    <row r="254" spans="2:73" x14ac:dyDescent="0.3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</row>
    <row r="255" spans="2:73" x14ac:dyDescent="0.3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</row>
    <row r="256" spans="2:73" x14ac:dyDescent="0.3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</row>
    <row r="257" spans="2:73" x14ac:dyDescent="0.3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</row>
    <row r="258" spans="2:73" x14ac:dyDescent="0.3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</row>
    <row r="259" spans="2:73" x14ac:dyDescent="0.3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</row>
    <row r="260" spans="2:73" x14ac:dyDescent="0.3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</row>
    <row r="261" spans="2:73" x14ac:dyDescent="0.3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</row>
    <row r="262" spans="2:73" x14ac:dyDescent="0.3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</row>
    <row r="263" spans="2:73" x14ac:dyDescent="0.3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</row>
    <row r="264" spans="2:73" x14ac:dyDescent="0.3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</row>
    <row r="265" spans="2:73" x14ac:dyDescent="0.3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</row>
    <row r="266" spans="2:73" x14ac:dyDescent="0.3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</row>
    <row r="267" spans="2:73" x14ac:dyDescent="0.3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</row>
    <row r="268" spans="2:73" x14ac:dyDescent="0.3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</row>
    <row r="269" spans="2:73" x14ac:dyDescent="0.3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</row>
    <row r="270" spans="2:73" x14ac:dyDescent="0.3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</row>
    <row r="271" spans="2:73" x14ac:dyDescent="0.3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</row>
    <row r="272" spans="2:73" x14ac:dyDescent="0.3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</row>
    <row r="273" spans="2:73" x14ac:dyDescent="0.3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</row>
    <row r="274" spans="2:73" x14ac:dyDescent="0.3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</row>
    <row r="275" spans="2:73" x14ac:dyDescent="0.3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</row>
    <row r="276" spans="2:73" x14ac:dyDescent="0.3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</row>
    <row r="277" spans="2:73" x14ac:dyDescent="0.3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</row>
    <row r="278" spans="2:73" x14ac:dyDescent="0.3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</row>
    <row r="279" spans="2:73" x14ac:dyDescent="0.3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</row>
    <row r="280" spans="2:73" x14ac:dyDescent="0.3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A̳ssets</vt:lpstr>
      <vt:lpstr>B̳ases</vt:lpstr>
      <vt:lpstr>Planilha1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Andreia Avlis</cp:lastModifiedBy>
  <dcterms:created xsi:type="dcterms:W3CDTF">2024-12-19T13:13:10Z</dcterms:created>
  <dcterms:modified xsi:type="dcterms:W3CDTF">2026-02-08T00:57:49Z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